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E:\010 船舶\485\"/>
    </mc:Choice>
  </mc:AlternateContent>
  <xr:revisionPtr revIDLastSave="0" documentId="13_ncr:1_{A3C659C1-2AF5-4D7E-8442-78AE32ACCF0E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变更记录" sheetId="2" r:id="rId1"/>
    <sheet name="协议内容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D8" i="1" l="1"/>
  <c r="D12" i="1" l="1"/>
  <c r="D13" i="1" l="1"/>
  <c r="D14" i="1"/>
  <c r="D15" i="1" l="1"/>
  <c r="D16" i="1" l="1"/>
  <c r="D17" i="1" l="1"/>
  <c r="D18" i="1" s="1"/>
  <c r="D22" i="1" l="1"/>
  <c r="D23" i="1" l="1"/>
  <c r="D24" i="1" s="1"/>
  <c r="D25" i="1" s="1"/>
  <c r="D26" i="1" s="1"/>
  <c r="D27" i="1" s="1"/>
  <c r="D28" i="1" s="1"/>
  <c r="D29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l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5" i="1" s="1"/>
  <c r="D122" i="1" s="1"/>
  <c r="D128" i="1" s="1"/>
  <c r="D132" i="1" s="1"/>
  <c r="D136" i="1" s="1"/>
  <c r="D140" i="1" s="1"/>
  <c r="D144" i="1" s="1"/>
  <c r="D148" i="1" s="1"/>
  <c r="D156" i="1" s="1"/>
  <c r="D164" i="1" s="1"/>
  <c r="D168" i="1" s="1"/>
  <c r="D172" i="1" s="1"/>
  <c r="D176" i="1" s="1"/>
  <c r="D180" i="1" s="1"/>
  <c r="D188" i="1" s="1"/>
  <c r="D192" i="1" s="1"/>
  <c r="D197" i="1" s="1"/>
  <c r="D202" i="1" s="1"/>
</calcChain>
</file>

<file path=xl/sharedStrings.xml><?xml version="1.0" encoding="utf-8"?>
<sst xmlns="http://schemas.openxmlformats.org/spreadsheetml/2006/main" count="526" uniqueCount="262">
  <si>
    <t>变量类别</t>
  </si>
  <si>
    <t>功能码</t>
  </si>
  <si>
    <t>信号名</t>
  </si>
  <si>
    <r>
      <rPr>
        <b/>
        <sz val="12"/>
        <color theme="1"/>
        <rFont val="等线"/>
        <family val="3"/>
        <charset val="134"/>
        <scheme val="minor"/>
      </rPr>
      <t xml:space="preserve">地址
</t>
    </r>
    <r>
      <rPr>
        <b/>
        <sz val="9"/>
        <color theme="1"/>
        <rFont val="等线"/>
        <family val="3"/>
        <charset val="134"/>
        <scheme val="minor"/>
      </rPr>
      <t>（十进制</t>
    </r>
    <r>
      <rPr>
        <b/>
        <sz val="12"/>
        <color theme="1"/>
        <rFont val="等线"/>
        <family val="3"/>
        <charset val="134"/>
        <scheme val="minor"/>
      </rPr>
      <t>）</t>
    </r>
  </si>
  <si>
    <t>长度</t>
  </si>
  <si>
    <t>起始位</t>
  </si>
  <si>
    <t>结束位</t>
  </si>
  <si>
    <t>值描述</t>
  </si>
  <si>
    <t>精度</t>
  </si>
  <si>
    <t>偏移量</t>
  </si>
  <si>
    <t>单位</t>
  </si>
  <si>
    <t>数据范围</t>
  </si>
  <si>
    <t>控制指令信息</t>
  </si>
  <si>
    <t>06H</t>
  </si>
  <si>
    <t>心跳信号(写）</t>
  </si>
  <si>
    <t>PMS向这个地址写入一个值。如果在30秒内写入了相同的值，或者BMS没有从PMS接收到心跳信号，则BMS报告通信失败。通信失败为三级报警</t>
  </si>
  <si>
    <t>上下电指令</t>
  </si>
  <si>
    <t>0: 高压下电 1：放电高压上电  2：充电高压上电</t>
  </si>
  <si>
    <t>HVPwr_OnOff_Cmd</t>
  </si>
  <si>
    <t>0: 无效 1: 复位清除所有三级报警 2: 关机 3:消音</t>
  </si>
  <si>
    <t>Rest_PwrOff_Sile</t>
  </si>
  <si>
    <t>急停报警</t>
  </si>
  <si>
    <t>0: 正常 1：急停</t>
  </si>
  <si>
    <t>Emer_StopAlarm</t>
  </si>
  <si>
    <t>请求指令信息</t>
  </si>
  <si>
    <t>03H</t>
  </si>
  <si>
    <t>Modbus协议版本</t>
  </si>
  <si>
    <t>例如值为：0x0124，表示版本号V01.24</t>
  </si>
  <si>
    <t>心跳信号(读）</t>
  </si>
  <si>
    <t>PMS每读一次，心跳信号加1,0-255</t>
  </si>
  <si>
    <t>高压下电请求</t>
  </si>
  <si>
    <t>0：高压下电请求无效  1：高压下电请求有效</t>
  </si>
  <si>
    <t>BMU_HVOFF_Heat_Req</t>
  </si>
  <si>
    <t>充电加热请求</t>
  </si>
  <si>
    <t>0：充电加热请求无效  1：充电加热请求有效</t>
  </si>
  <si>
    <t>充电需求电压</t>
  </si>
  <si>
    <t>仅在充电和充电加热时有效，其他状态发0</t>
  </si>
  <si>
    <t>V</t>
  </si>
  <si>
    <t>Sc_CHRG_DCChrgVolt_Request</t>
  </si>
  <si>
    <t>充电需求电流</t>
  </si>
  <si>
    <t>A</t>
  </si>
  <si>
    <t>Sc_CHRG_DCChrgCurr_Request</t>
  </si>
  <si>
    <t>最大允许放电电压</t>
  </si>
  <si>
    <t>BMU_BatVolt</t>
  </si>
  <si>
    <t>最大允许放电电流</t>
  </si>
  <si>
    <t>BMU_MaxInstanDisCurnt</t>
  </si>
  <si>
    <t>组总体状态</t>
  </si>
  <si>
    <t>系统运行状态</t>
  </si>
  <si>
    <t>0：无效；1：自检；2：放电；3：充电；4：充电完成；5：急停；6：系统保护；7：充电保护；8：放电保护；9：静置；10：关机；11：待机；12：预充；13：充电加热 14：簇上电中 15：簇压均衡中</t>
  </si>
  <si>
    <t>BMU_RunState</t>
  </si>
  <si>
    <t>设备序号</t>
  </si>
  <si>
    <t>设备序号从1开始</t>
  </si>
  <si>
    <t>BMU_DeviceNum</t>
  </si>
  <si>
    <t>电池簇数量</t>
  </si>
  <si>
    <t>BMU_FailInfo</t>
  </si>
  <si>
    <t>组当前报警数量</t>
  </si>
  <si>
    <t>BMU_WarningNum</t>
  </si>
  <si>
    <t>组当前故障数量</t>
  </si>
  <si>
    <t>BMU_FaultNum</t>
  </si>
  <si>
    <t>SOC</t>
  </si>
  <si>
    <t>所有簇当中的最低SOC</t>
  </si>
  <si>
    <t>BMU_SysSOC_Dis</t>
  </si>
  <si>
    <t>SOH</t>
  </si>
  <si>
    <t>所有簇当中的最低SOH</t>
  </si>
  <si>
    <t>BMU_SysSOH</t>
  </si>
  <si>
    <t>总充电电量</t>
  </si>
  <si>
    <t>所有簇的总充电量的累加和（产品生命周期内）</t>
  </si>
  <si>
    <t>BMU_AccChrg Power</t>
  </si>
  <si>
    <t>总放电电量</t>
  </si>
  <si>
    <t>所有簇的总放电量的累加和（产品生命周期内）</t>
  </si>
  <si>
    <t>BMU_AccDischrg Power</t>
  </si>
  <si>
    <t>绝缘值</t>
  </si>
  <si>
    <t>整组最小绝缘值</t>
  </si>
  <si>
    <r>
      <rPr>
        <sz val="9"/>
        <rFont val="宋体"/>
        <family val="3"/>
        <charset val="134"/>
      </rPr>
      <t>K</t>
    </r>
    <r>
      <rPr>
        <sz val="9"/>
        <rFont val="Calibri"/>
        <family val="2"/>
      </rPr>
      <t>Ω</t>
    </r>
  </si>
  <si>
    <t>BMU_SysInsRes</t>
  </si>
  <si>
    <t>电池组当前状态</t>
  </si>
  <si>
    <t>充放电正继电器状态</t>
  </si>
  <si>
    <t>0：断开；1：闭合</t>
  </si>
  <si>
    <t>BMU_RelayState</t>
  </si>
  <si>
    <t>充放电负继电器状态</t>
  </si>
  <si>
    <t>预充继电器状态</t>
  </si>
  <si>
    <t>均衡继电器状态</t>
  </si>
  <si>
    <t>加热继电器状态</t>
  </si>
  <si>
    <t>充电枪插枪状态</t>
  </si>
  <si>
    <t>0：未插入；1：插入</t>
  </si>
  <si>
    <t>组温差值</t>
  </si>
  <si>
    <t>℃</t>
  </si>
  <si>
    <t>BMU_SysTempDiff</t>
  </si>
  <si>
    <t>环境温度</t>
  </si>
  <si>
    <t>BMU_AmbientTemp</t>
  </si>
  <si>
    <t>电流情况</t>
  </si>
  <si>
    <t>组电流值</t>
  </si>
  <si>
    <t>负值为充电，正值为放电。所有簇的总电流</t>
  </si>
  <si>
    <t>0.1</t>
  </si>
  <si>
    <t>BMU_Current_U16</t>
  </si>
  <si>
    <t>簇1 电流</t>
  </si>
  <si>
    <t>GiICAN_BCU_SysCurr_U16[0]</t>
  </si>
  <si>
    <t>预留</t>
  </si>
  <si>
    <t>GiICAN_BCU_SysCurr_U16[1]</t>
  </si>
  <si>
    <t>GiICAN_BCU_SysCurr_U16[2]</t>
  </si>
  <si>
    <t>GiICAN_BCU_SysCurr_U16[3]</t>
  </si>
  <si>
    <t>GiICAN_BCU_SysCurr_U16[4]</t>
  </si>
  <si>
    <t>电压情况</t>
  </si>
  <si>
    <t>压差值</t>
  </si>
  <si>
    <t>该组中所有电池的压差值</t>
  </si>
  <si>
    <t>mv</t>
  </si>
  <si>
    <t>BMU_SysVoltDiff</t>
  </si>
  <si>
    <t>输入电压值</t>
  </si>
  <si>
    <t>BMU_Volt_Input</t>
  </si>
  <si>
    <t>输出电压值</t>
  </si>
  <si>
    <t>簇1 电压</t>
  </si>
  <si>
    <t>GiICAN_BCU_SysHVoltage[0]</t>
  </si>
  <si>
    <t>GiICAN_BCU_SysHVoltage[1]</t>
  </si>
  <si>
    <t>GiICAN_BCU_SysHVoltage[2]</t>
  </si>
  <si>
    <t>GiICAN_BCU_SysHVoltage[3]</t>
  </si>
  <si>
    <t>GiICAN_BCU_SysHVoltage[4]</t>
  </si>
  <si>
    <t>单体电压</t>
  </si>
  <si>
    <t>簇1最大单体电压值</t>
  </si>
  <si>
    <t>GiICAN_BCU_SysCellVoltMax[0]</t>
  </si>
  <si>
    <t>簇1最大单体电压箱号</t>
  </si>
  <si>
    <t>GiICAN_BCU_SysVMax_BSUadd[0]</t>
  </si>
  <si>
    <t>簇1最大单体电压编号</t>
  </si>
  <si>
    <t>需定位簇号、箱号、位置编号</t>
  </si>
  <si>
    <t>GiICAN_BCU_SysVMax_Code[0]</t>
  </si>
  <si>
    <t>GiICAN_BCU_SysCellVoltMax[1]</t>
  </si>
  <si>
    <t>GiICAN_BCU_SysVMax_BSUadd[1]</t>
  </si>
  <si>
    <t>GiICAN_BCU_SysVMax_Code[1]</t>
  </si>
  <si>
    <t>GiICAN_BCU_SysCellVoltMax[2]</t>
  </si>
  <si>
    <t>GiICAN_BCU_SysVMax_BSUadd[2]</t>
  </si>
  <si>
    <t>GiICAN_BCU_SysVMax_Code[2]</t>
  </si>
  <si>
    <t>GiICAN_BCU_SysCellVoltMax[3]</t>
  </si>
  <si>
    <t>GiICAN_BCU_SysVMax_BSUadd[3]</t>
  </si>
  <si>
    <t>GiICAN_BCU_SysVMax_Code[3]</t>
  </si>
  <si>
    <t>GiICAN_BCU_SysCellVoltMax[4]</t>
  </si>
  <si>
    <t>GiICAN_BCU_SysVMax_BSUadd[4]</t>
  </si>
  <si>
    <t>GiICAN_BCU_SysVMax_Code[4]</t>
  </si>
  <si>
    <t>簇1最小单体电压值</t>
  </si>
  <si>
    <t>GiICAN_BCU_SysCellVoltMin[0]</t>
  </si>
  <si>
    <t>簇1最小单体电压箱号</t>
  </si>
  <si>
    <t>GiICAN_BCU_SysVMin_BSUadd[0]</t>
  </si>
  <si>
    <t>簇1最小单体电压编号</t>
  </si>
  <si>
    <t>GiICAN_BCU_SysVMin_Code[0]</t>
  </si>
  <si>
    <t>GiICAN_BCU_SysCellVoltMin[1]</t>
  </si>
  <si>
    <t>GiICAN_BCU_SysVMin_BSUadd[1]</t>
  </si>
  <si>
    <t>GiICAN_BCU_SysVMin_Code[1]</t>
  </si>
  <si>
    <t>GiICAN_BCU_SysCellVoltMin[2]</t>
  </si>
  <si>
    <t>GiICAN_BCU_SysVMin_BSUadd[2]</t>
  </si>
  <si>
    <t>GiICAN_BCU_SysVMin_Code[2]</t>
  </si>
  <si>
    <t>GiICAN_BCU_SysCellVoltMin[3]</t>
  </si>
  <si>
    <t>GiICAN_BCU_SysVMin_BSUadd[3]</t>
  </si>
  <si>
    <t>GiICAN_BCU_SysVMin_Code[3]</t>
  </si>
  <si>
    <t>GiICAN_BCU_SysCellVoltMin[4]</t>
  </si>
  <si>
    <t>GiICAN_BCU_SysVMin_BSUadd[4]</t>
  </si>
  <si>
    <t>GiICAN_BCU_SysVMin_Code[4]</t>
  </si>
  <si>
    <t>单体温度</t>
  </si>
  <si>
    <t>簇1最大单体温度值</t>
  </si>
  <si>
    <t>GiICAN_BCU_SysTempMax_U16[0]</t>
  </si>
  <si>
    <t>簇1最大单体温度箱号</t>
  </si>
  <si>
    <t>GiICAN_BCU_SysTMax_BSUadd[0]</t>
  </si>
  <si>
    <t>簇1最大单体温度编号</t>
  </si>
  <si>
    <t>GiICAN_BCU_SysTMax_Code[0]</t>
  </si>
  <si>
    <t>GiICAN_BCU_SysTempMax_U16[1]</t>
  </si>
  <si>
    <t>GiICAN_BCU_SysTMax_BSUadd[1]</t>
  </si>
  <si>
    <t>GiICAN_BCU_SysTMax_Code[1]</t>
  </si>
  <si>
    <t>GiICAN_BCU_SysTempMax_U16[2]</t>
  </si>
  <si>
    <t>GiICAN_BCU_SysTMax_BSUadd[2]</t>
  </si>
  <si>
    <t>GiICAN_BCU_SysTMax_Code[2]</t>
  </si>
  <si>
    <t>GiICAN_BCU_SysTempMax_U16[3]</t>
  </si>
  <si>
    <t>GiICAN_BCU_SysTMax_BSUadd[3]</t>
  </si>
  <si>
    <t>GiICAN_BCU_SysTMax_Code[3]</t>
  </si>
  <si>
    <t>GiICAN_BCU_SysTempMax_U16[4]</t>
  </si>
  <si>
    <t>GiICAN_BCU_SysTMax_BSUadd[4]</t>
  </si>
  <si>
    <t>GiICAN_BCU_SysTMax_Code[4]</t>
  </si>
  <si>
    <t>簇1最小单体温度值</t>
  </si>
  <si>
    <t>GiICAN_BCU_SysTempMin_U16[0]</t>
  </si>
  <si>
    <t>簇1最小单体温度箱号</t>
  </si>
  <si>
    <t>GiICAN_BCU_SysTMin_BSUadd[0]</t>
  </si>
  <si>
    <t>簇1最小单体温度编号</t>
  </si>
  <si>
    <t>GiICAN_BCU_SysTMin_Code[0]</t>
  </si>
  <si>
    <t>GiICAN_BCU_SysTempMin_U16[1]</t>
  </si>
  <si>
    <t>GiICAN_BCU_SysTMin_BSUadd[1]</t>
  </si>
  <si>
    <t>GiICAN_BCU_SysTMin_Code[1]</t>
  </si>
  <si>
    <t>GiICAN_BCU_SysTempMin_U16[2]</t>
  </si>
  <si>
    <t>GiICAN_BCU_SysTMin_BSUadd[2]</t>
  </si>
  <si>
    <t>GiICAN_BCU_SysTMin_Code[2]</t>
  </si>
  <si>
    <t>GiICAN_BCU_SysTempMin_U16[3]</t>
  </si>
  <si>
    <t>GiICAN_BCU_SysTMin_BSUadd[3]</t>
  </si>
  <si>
    <t>GiICAN_BCU_SysTMin_Code[3]</t>
  </si>
  <si>
    <t>GiICAN_BCU_SysTempMin_U16[4]</t>
  </si>
  <si>
    <t>GiICAN_BCU_SysTMin_BSUadd[4]</t>
  </si>
  <si>
    <t>GiICAN_BCU_SysTMin_Code[4]</t>
  </si>
  <si>
    <t>簇1报警</t>
  </si>
  <si>
    <t>0：无报警 1：一级报警 2：二级报警 3：三级报警</t>
  </si>
  <si>
    <t>BMU_BCU_WarningState</t>
  </si>
  <si>
    <t>压差报警</t>
  </si>
  <si>
    <t xml:space="preserve">0：无报警 1：一级报警 2：二级报警 </t>
  </si>
  <si>
    <t>BMU_WarningInfo1</t>
  </si>
  <si>
    <t>预充报警</t>
  </si>
  <si>
    <t>0：无报警   其它：报警启动（三级报警）</t>
  </si>
  <si>
    <t>簇上电失败报警</t>
  </si>
  <si>
    <t>簇充电加热失败报警</t>
  </si>
  <si>
    <t>簇通信失败报警</t>
  </si>
  <si>
    <t>BMU_WarningInfo2</t>
  </si>
  <si>
    <t>与PMS/EMS通讯丢失</t>
  </si>
  <si>
    <t>保护功能故障报警</t>
  </si>
  <si>
    <t>电池包一致性故障</t>
  </si>
  <si>
    <t>急停故障</t>
  </si>
  <si>
    <t>簇1 电池过放</t>
  </si>
  <si>
    <t>BMU_BCU_CellVolt_LowWarning</t>
  </si>
  <si>
    <t>簇1 电池过充</t>
  </si>
  <si>
    <t>BMU_BCU_CellVolt_HighWarning</t>
  </si>
  <si>
    <t>簇1  SOC过低报警</t>
  </si>
  <si>
    <t>BMU_BCU_SOC_LowWarning</t>
  </si>
  <si>
    <t>簇1 过温报警（充/放电）</t>
  </si>
  <si>
    <t>BMU_BCU_Temp_HighWarning</t>
  </si>
  <si>
    <t>故障信息</t>
  </si>
  <si>
    <t>簇1继电器故障</t>
  </si>
  <si>
    <t>0：无报警 1：开路 2：粘连 3：预留</t>
  </si>
  <si>
    <t>BMU_BCU_ContactorFault</t>
  </si>
  <si>
    <t>簇1N 温度检测故障</t>
  </si>
  <si>
    <t>BMU_BCU_TempDetectFault</t>
  </si>
  <si>
    <t>簇1 高压互锁报警</t>
  </si>
  <si>
    <t>BMU_BCU_HvilCellFault</t>
  </si>
  <si>
    <t>簇1 电压检测故障</t>
  </si>
  <si>
    <t>簇1N 供电电压过高故障</t>
  </si>
  <si>
    <t>BMU_BCU_SupplyOverFault</t>
  </si>
  <si>
    <t>簇1N 供电电压过低故障</t>
  </si>
  <si>
    <t>BMU_BCU_SupplyUnderFault</t>
  </si>
  <si>
    <t>BMU_SBCU_SupplyOverFault</t>
  </si>
  <si>
    <t>BMU_SBCU_SupplyUnderFault</t>
  </si>
  <si>
    <t>簇1S 过高温报警（单体）</t>
  </si>
  <si>
    <t>BMU_SBCU_TempFault</t>
  </si>
  <si>
    <t>\</t>
  </si>
  <si>
    <t>保留</t>
  </si>
  <si>
    <t>簇1S 供电电压过高故障</t>
    <phoneticPr fontId="8" type="noConversion"/>
  </si>
  <si>
    <t>簇1S 供电电压过低故障</t>
    <phoneticPr fontId="8" type="noConversion"/>
  </si>
  <si>
    <t>簇1S 过高温报警（环境温度）</t>
    <phoneticPr fontId="8" type="noConversion"/>
  </si>
  <si>
    <t>簇1S 温度检测故障</t>
    <phoneticPr fontId="8" type="noConversion"/>
  </si>
  <si>
    <t>0：无报警 1：一级报警 2：二级报警 3：三级报警。</t>
    <phoneticPr fontId="8" type="noConversion"/>
  </si>
  <si>
    <t>绝缘报警</t>
    <phoneticPr fontId="8" type="noConversion"/>
  </si>
  <si>
    <t>复位/关机/消音信号</t>
    <phoneticPr fontId="8" type="noConversion"/>
  </si>
  <si>
    <t>充电故障</t>
    <phoneticPr fontId="8" type="noConversion"/>
  </si>
  <si>
    <t>加热请求</t>
    <phoneticPr fontId="8" type="noConversion"/>
  </si>
  <si>
    <t>冷却请求</t>
    <phoneticPr fontId="8" type="noConversion"/>
  </si>
  <si>
    <t>0x0: No Request 0x1: Request</t>
    <phoneticPr fontId="8" type="noConversion"/>
  </si>
  <si>
    <r>
      <rPr>
        <b/>
        <sz val="14"/>
        <color rgb="FF000000"/>
        <rFont val="Arial"/>
        <family val="2"/>
      </rPr>
      <t xml:space="preserve">Revision Management  </t>
    </r>
    <r>
      <rPr>
        <b/>
        <sz val="14"/>
        <color rgb="FF000000"/>
        <rFont val="宋体"/>
        <family val="3"/>
        <charset val="134"/>
      </rPr>
      <t>版本管理</t>
    </r>
  </si>
  <si>
    <t>RZ-COMM-2024-01/01</t>
  </si>
  <si>
    <t>V1.3</t>
    <phoneticPr fontId="8" type="noConversion"/>
  </si>
  <si>
    <r>
      <rPr>
        <b/>
        <sz val="10"/>
        <color rgb="FF000000"/>
        <rFont val="宋体"/>
        <family val="3"/>
        <charset val="134"/>
      </rPr>
      <t xml:space="preserve">Revision_x000D_
</t>
    </r>
    <r>
      <rPr>
        <b/>
        <sz val="10"/>
        <color indexed="8"/>
        <rFont val="宋体"/>
        <family val="3"/>
        <charset val="134"/>
      </rPr>
      <t>版本</t>
    </r>
  </si>
  <si>
    <r>
      <rPr>
        <b/>
        <sz val="10"/>
        <color rgb="FF000000"/>
        <rFont val="宋体"/>
        <family val="3"/>
        <charset val="134"/>
      </rPr>
      <t xml:space="preserve">Author_x000D_
</t>
    </r>
    <r>
      <rPr>
        <b/>
        <sz val="10"/>
        <color indexed="8"/>
        <rFont val="宋体"/>
        <family val="3"/>
        <charset val="134"/>
      </rPr>
      <t>作者</t>
    </r>
  </si>
  <si>
    <r>
      <rPr>
        <b/>
        <sz val="10"/>
        <color rgb="FF000000"/>
        <rFont val="宋体"/>
        <family val="3"/>
        <charset val="134"/>
      </rPr>
      <t xml:space="preserve">Reviewed by_x000D_
</t>
    </r>
    <r>
      <rPr>
        <b/>
        <sz val="10"/>
        <color indexed="8"/>
        <rFont val="宋体"/>
        <family val="3"/>
        <charset val="134"/>
      </rPr>
      <t>审核</t>
    </r>
  </si>
  <si>
    <r>
      <rPr>
        <b/>
        <sz val="10"/>
        <color rgb="FF000000"/>
        <rFont val="宋体"/>
        <family val="3"/>
        <charset val="134"/>
      </rPr>
      <t xml:space="preserve">ECU
</t>
    </r>
    <r>
      <rPr>
        <b/>
        <sz val="10"/>
        <color indexed="8"/>
        <rFont val="宋体"/>
        <family val="3"/>
        <charset val="134"/>
      </rPr>
      <t>节点</t>
    </r>
  </si>
  <si>
    <r>
      <rPr>
        <b/>
        <sz val="10"/>
        <color rgb="FF000000"/>
        <rFont val="宋体"/>
        <family val="3"/>
        <charset val="134"/>
      </rPr>
      <t xml:space="preserve">Changes Comments_x000D_
</t>
    </r>
    <r>
      <rPr>
        <b/>
        <sz val="10"/>
        <color indexed="8"/>
        <rFont val="宋体"/>
        <family val="3"/>
        <charset val="134"/>
      </rPr>
      <t>修改说明</t>
    </r>
  </si>
  <si>
    <t>Changes Reasons
日期</t>
  </si>
  <si>
    <t xml:space="preserve">0：正负极对地阻值相等 1：正对地绝缘电阻小 1：负对地绝缘电阻小 </t>
    <phoneticPr fontId="8" type="noConversion"/>
  </si>
  <si>
    <t>绝缘电阻极性</t>
    <phoneticPr fontId="8" type="noConversion"/>
  </si>
  <si>
    <t>充电过流报警</t>
    <phoneticPr fontId="8" type="noConversion"/>
  </si>
  <si>
    <t>放电过流报警</t>
    <phoneticPr fontId="8" type="noConversion"/>
  </si>
  <si>
    <t>当前最大报警等级</t>
    <phoneticPr fontId="8" type="noConversion"/>
  </si>
  <si>
    <t>故障码</t>
    <phoneticPr fontId="8" type="noConversion"/>
  </si>
  <si>
    <t>所有工作簇数</t>
    <phoneticPr fontId="8" type="noConversion"/>
  </si>
  <si>
    <t>1.增加以下信号：加热请求、冷却请求、故障码
2.删除以下信号：组当前故障
3.修改以下信号：绝缘电阻极性增加为2位、绝缘报警增加为2位、充电过流报警增加为2位、放电过流报警增加为2位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</si>
</sst>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9"/>
      <color rgb="FFFF0000"/>
      <name val="等线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</font>
    <font>
      <sz val="9"/>
      <color rgb="FFFF0000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sz val="9"/>
      <name val="Calibri"/>
      <family val="2"/>
    </font>
    <font>
      <sz val="12"/>
      <name val="宋体"/>
      <family val="3"/>
      <charset val="134"/>
    </font>
    <font>
      <b/>
      <sz val="14"/>
      <color rgb="FF000000"/>
      <name val="Arial"/>
      <family val="2"/>
    </font>
    <font>
      <b/>
      <sz val="14"/>
      <color rgb="FF000000"/>
      <name val="宋体"/>
      <family val="3"/>
      <charset val="134"/>
    </font>
    <font>
      <sz val="10"/>
      <color rgb="FF000000"/>
      <name val="Arial"/>
      <family val="2"/>
    </font>
    <font>
      <b/>
      <sz val="10"/>
      <color rgb="FF000000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0"/>
      <name val="Arial"/>
      <family val="2"/>
    </font>
    <font>
      <sz val="10"/>
      <color rgb="FF0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2CDFF"/>
        <bgColor rgb="FFFF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7" fillId="0" borderId="0"/>
  </cellStyleXfs>
  <cellXfs count="58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/>
    <xf numFmtId="0" fontId="4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0" xfId="0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/>
    <xf numFmtId="0" fontId="0" fillId="2" borderId="0" xfId="0" applyFill="1" applyAlignment="1">
      <alignment wrapText="1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0" fontId="14" fillId="0" borderId="1" xfId="1" applyFont="1" applyBorder="1" applyAlignment="1">
      <alignment vertical="top" wrapText="1"/>
    </xf>
    <xf numFmtId="0" fontId="1" fillId="0" borderId="0" xfId="2"/>
    <xf numFmtId="0" fontId="15" fillId="4" borderId="1" xfId="3" applyFont="1" applyFill="1" applyBorder="1" applyAlignment="1">
      <alignment horizontal="center" vertical="center" wrapText="1"/>
    </xf>
    <xf numFmtId="49" fontId="18" fillId="0" borderId="1" xfId="4" applyNumberFormat="1" applyFont="1" applyBorder="1" applyAlignment="1">
      <alignment horizontal="center" vertical="center" wrapText="1"/>
    </xf>
    <xf numFmtId="14" fontId="18" fillId="0" borderId="1" xfId="4" applyNumberFormat="1" applyFont="1" applyBorder="1" applyAlignment="1">
      <alignment horizontal="center" vertical="center" wrapText="1"/>
    </xf>
    <xf numFmtId="14" fontId="18" fillId="0" borderId="1" xfId="4" applyNumberFormat="1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12" fillId="0" borderId="1" xfId="1" applyFont="1" applyBorder="1" applyAlignment="1">
      <alignment horizontal="center" vertical="center" wrapText="1"/>
    </xf>
  </cellXfs>
  <cellStyles count="5">
    <cellStyle name="Standard_SL(Template)_PF2010_C71 CAN CMX V1.1_100817" xfId="4" xr:uid="{DED64AD4-A055-45E9-B816-AD7378672BAA}"/>
    <cellStyle name="常规" xfId="0" builtinId="0"/>
    <cellStyle name="常规 2" xfId="2" xr:uid="{772F66C5-2BDC-4123-BA07-8CB92BDF5A22}"/>
    <cellStyle name="常规 25 2" xfId="3" xr:uid="{A39D063D-C749-4FA7-9AFC-8D8A1E459E4A}"/>
    <cellStyle name="常规_C71 CAN CMX V1.1_100817 2" xfId="1" xr:uid="{096B2BE8-614A-4E1C-A172-3FA557A963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A93B-F651-48B9-BA84-3A922475E7C5}">
  <dimension ref="A1:F4"/>
  <sheetViews>
    <sheetView tabSelected="1" workbookViewId="0">
      <selection activeCell="E8" sqref="E8"/>
    </sheetView>
  </sheetViews>
  <sheetFormatPr defaultColWidth="9" defaultRowHeight="14.25" x14ac:dyDescent="0.2"/>
  <cols>
    <col min="1" max="1" width="10.75" style="39" customWidth="1"/>
    <col min="2" max="2" width="9" style="39"/>
    <col min="3" max="3" width="14.125" style="39" customWidth="1"/>
    <col min="4" max="4" width="11" style="39" customWidth="1"/>
    <col min="5" max="5" width="41.625" style="39" customWidth="1"/>
    <col min="6" max="6" width="20.625" style="39" customWidth="1"/>
    <col min="7" max="16384" width="9" style="39"/>
  </cols>
  <sheetData>
    <row r="1" spans="1:6" ht="18.95" customHeight="1" x14ac:dyDescent="0.2">
      <c r="A1" s="57" t="s">
        <v>245</v>
      </c>
      <c r="B1" s="57"/>
      <c r="C1" s="57"/>
      <c r="D1" s="57"/>
      <c r="E1" s="57"/>
      <c r="F1" s="38" t="s">
        <v>246</v>
      </c>
    </row>
    <row r="2" spans="1:6" ht="18.95" customHeight="1" x14ac:dyDescent="0.2">
      <c r="A2" s="57"/>
      <c r="B2" s="57"/>
      <c r="C2" s="57"/>
      <c r="D2" s="57"/>
      <c r="E2" s="57"/>
      <c r="F2" s="38" t="s">
        <v>247</v>
      </c>
    </row>
    <row r="3" spans="1:6" ht="32.1" customHeight="1" x14ac:dyDescent="0.2">
      <c r="A3" s="40" t="s">
        <v>248</v>
      </c>
      <c r="B3" s="40" t="s">
        <v>249</v>
      </c>
      <c r="C3" s="40" t="s">
        <v>250</v>
      </c>
      <c r="D3" s="40" t="s">
        <v>251</v>
      </c>
      <c r="E3" s="40" t="s">
        <v>252</v>
      </c>
      <c r="F3" s="40" t="s">
        <v>253</v>
      </c>
    </row>
    <row r="4" spans="1:6" ht="67.5" customHeight="1" x14ac:dyDescent="0.2">
      <c r="A4" s="41" t="s">
        <v>247</v>
      </c>
      <c r="B4" s="42"/>
      <c r="C4" s="42"/>
      <c r="D4" s="42"/>
      <c r="E4" s="43" t="s">
        <v>261</v>
      </c>
      <c r="F4" s="42">
        <v>46233</v>
      </c>
    </row>
  </sheetData>
  <mergeCells count="1">
    <mergeCell ref="A1:E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19"/>
  <sheetViews>
    <sheetView topLeftCell="A10" zoomScale="85" zoomScaleNormal="85" workbookViewId="0">
      <pane xSplit="3" topLeftCell="D1" activePane="topRight" state="frozen"/>
      <selection pane="topRight" activeCell="D24" sqref="D24"/>
    </sheetView>
  </sheetViews>
  <sheetFormatPr defaultColWidth="9" defaultRowHeight="14.25" x14ac:dyDescent="0.2"/>
  <cols>
    <col min="1" max="1" width="16.625" style="4" customWidth="1"/>
    <col min="2" max="2" width="25.125" style="4" customWidth="1"/>
    <col min="3" max="3" width="23.875" style="35" customWidth="1"/>
    <col min="4" max="4" width="9.875" style="6" customWidth="1"/>
    <col min="5" max="5" width="6.75" style="6" customWidth="1"/>
    <col min="6" max="6" width="8.875" style="6" customWidth="1"/>
    <col min="7" max="7" width="8.375" style="6" customWidth="1"/>
    <col min="8" max="8" width="36.25" style="7" customWidth="1"/>
    <col min="9" max="9" width="7.375" style="8" customWidth="1"/>
    <col min="10" max="11" width="6.625" style="8" customWidth="1"/>
    <col min="12" max="12" width="11.125" style="8" customWidth="1"/>
    <col min="13" max="13" width="25.375" style="9" customWidth="1"/>
    <col min="14" max="14" width="23.125" style="10" customWidth="1"/>
    <col min="15" max="16384" width="9" style="10"/>
  </cols>
  <sheetData>
    <row r="1" spans="1:16" s="1" customFormat="1" ht="35.25" customHeight="1" x14ac:dyDescent="0.2">
      <c r="A1" s="11" t="s">
        <v>0</v>
      </c>
      <c r="B1" s="11" t="s">
        <v>1</v>
      </c>
      <c r="C1" s="33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2</v>
      </c>
      <c r="N1" s="13"/>
      <c r="O1" s="14"/>
      <c r="P1" s="14"/>
    </row>
    <row r="2" spans="1:16" s="2" customFormat="1" ht="45" customHeight="1" x14ac:dyDescent="0.2">
      <c r="A2" s="46" t="s">
        <v>12</v>
      </c>
      <c r="B2" s="47" t="s">
        <v>13</v>
      </c>
      <c r="C2" s="32" t="s">
        <v>14</v>
      </c>
      <c r="D2" s="17">
        <v>1</v>
      </c>
      <c r="E2" s="17">
        <v>8</v>
      </c>
      <c r="F2" s="17">
        <v>0</v>
      </c>
      <c r="G2" s="17">
        <v>7</v>
      </c>
      <c r="H2" s="16" t="s">
        <v>15</v>
      </c>
      <c r="I2" s="17"/>
      <c r="J2" s="17"/>
      <c r="K2" s="17"/>
      <c r="L2" s="17"/>
      <c r="M2" s="18"/>
    </row>
    <row r="3" spans="1:16" s="2" customFormat="1" ht="17.100000000000001" customHeight="1" x14ac:dyDescent="0.2">
      <c r="A3" s="46"/>
      <c r="B3" s="48"/>
      <c r="C3" s="32" t="s">
        <v>16</v>
      </c>
      <c r="D3" s="51">
        <v>2</v>
      </c>
      <c r="E3" s="17">
        <v>2</v>
      </c>
      <c r="F3" s="17">
        <v>0</v>
      </c>
      <c r="G3" s="17">
        <v>1</v>
      </c>
      <c r="H3" s="16" t="s">
        <v>17</v>
      </c>
      <c r="I3" s="17"/>
      <c r="J3" s="17"/>
      <c r="K3" s="17"/>
      <c r="L3" s="17"/>
      <c r="M3" s="18" t="s">
        <v>18</v>
      </c>
    </row>
    <row r="4" spans="1:16" s="2" customFormat="1" ht="17.100000000000001" customHeight="1" x14ac:dyDescent="0.2">
      <c r="A4" s="46"/>
      <c r="B4" s="48"/>
      <c r="C4" s="32" t="s">
        <v>240</v>
      </c>
      <c r="D4" s="52"/>
      <c r="E4" s="17">
        <v>2</v>
      </c>
      <c r="F4" s="17">
        <v>2</v>
      </c>
      <c r="G4" s="17">
        <v>3</v>
      </c>
      <c r="H4" s="16" t="s">
        <v>19</v>
      </c>
      <c r="I4" s="17"/>
      <c r="J4" s="17"/>
      <c r="K4" s="17"/>
      <c r="L4" s="17"/>
      <c r="M4" s="18" t="s">
        <v>20</v>
      </c>
    </row>
    <row r="5" spans="1:16" s="2" customFormat="1" ht="17.100000000000001" customHeight="1" x14ac:dyDescent="0.2">
      <c r="A5" s="46"/>
      <c r="B5" s="49"/>
      <c r="C5" s="32" t="s">
        <v>21</v>
      </c>
      <c r="D5" s="53"/>
      <c r="E5" s="15">
        <v>1</v>
      </c>
      <c r="F5" s="17">
        <v>4</v>
      </c>
      <c r="G5" s="17">
        <v>4</v>
      </c>
      <c r="H5" s="16" t="s">
        <v>22</v>
      </c>
      <c r="I5" s="17"/>
      <c r="J5" s="17"/>
      <c r="K5" s="17"/>
      <c r="L5" s="17"/>
      <c r="M5" s="18" t="s">
        <v>23</v>
      </c>
    </row>
    <row r="6" spans="1:16" s="2" customFormat="1" ht="17.100000000000001" customHeight="1" x14ac:dyDescent="0.2">
      <c r="A6" s="47" t="s">
        <v>24</v>
      </c>
      <c r="B6" s="47" t="s">
        <v>25</v>
      </c>
      <c r="C6" s="32" t="s">
        <v>26</v>
      </c>
      <c r="D6" s="17">
        <v>20</v>
      </c>
      <c r="E6" s="17">
        <v>16</v>
      </c>
      <c r="F6" s="17">
        <v>0</v>
      </c>
      <c r="G6" s="17">
        <v>15</v>
      </c>
      <c r="H6" s="16" t="s">
        <v>27</v>
      </c>
      <c r="I6" s="17">
        <v>1</v>
      </c>
      <c r="J6" s="17">
        <v>0</v>
      </c>
      <c r="K6" s="17"/>
      <c r="L6" s="17"/>
      <c r="M6" s="18"/>
    </row>
    <row r="7" spans="1:16" s="2" customFormat="1" ht="19.5" customHeight="1" x14ac:dyDescent="0.2">
      <c r="A7" s="48"/>
      <c r="B7" s="48"/>
      <c r="C7" s="32" t="s">
        <v>28</v>
      </c>
      <c r="D7" s="17">
        <f>MAX($D$6:D6)+1</f>
        <v>21</v>
      </c>
      <c r="E7" s="17">
        <v>8</v>
      </c>
      <c r="F7" s="17">
        <v>0</v>
      </c>
      <c r="G7" s="17">
        <v>8</v>
      </c>
      <c r="H7" s="20" t="s">
        <v>29</v>
      </c>
      <c r="I7" s="17">
        <v>1</v>
      </c>
      <c r="J7" s="17">
        <v>0</v>
      </c>
      <c r="K7" s="17"/>
      <c r="L7" s="17"/>
      <c r="M7" s="18"/>
    </row>
    <row r="8" spans="1:16" s="2" customFormat="1" ht="17.100000000000001" customHeight="1" x14ac:dyDescent="0.2">
      <c r="A8" s="48"/>
      <c r="B8" s="48"/>
      <c r="C8" s="32" t="s">
        <v>30</v>
      </c>
      <c r="D8" s="51">
        <f>MAX($D$6:D7)+1</f>
        <v>22</v>
      </c>
      <c r="E8" s="17">
        <v>1</v>
      </c>
      <c r="F8" s="17">
        <v>0</v>
      </c>
      <c r="G8" s="17">
        <v>0</v>
      </c>
      <c r="H8" s="16" t="s">
        <v>31</v>
      </c>
      <c r="I8" s="17">
        <v>1</v>
      </c>
      <c r="J8" s="17">
        <v>0</v>
      </c>
      <c r="K8" s="17"/>
      <c r="L8" s="17"/>
      <c r="M8" s="54" t="s">
        <v>32</v>
      </c>
    </row>
    <row r="9" spans="1:16" s="2" customFormat="1" ht="17.100000000000001" customHeight="1" x14ac:dyDescent="0.2">
      <c r="A9" s="48"/>
      <c r="B9" s="48"/>
      <c r="C9" s="32" t="s">
        <v>33</v>
      </c>
      <c r="D9" s="52"/>
      <c r="E9" s="17">
        <v>1</v>
      </c>
      <c r="F9" s="17">
        <v>1</v>
      </c>
      <c r="G9" s="17">
        <v>1</v>
      </c>
      <c r="H9" s="16" t="s">
        <v>34</v>
      </c>
      <c r="I9" s="17">
        <v>1</v>
      </c>
      <c r="J9" s="17">
        <v>0</v>
      </c>
      <c r="K9" s="17"/>
      <c r="L9" s="17"/>
      <c r="M9" s="55"/>
    </row>
    <row r="10" spans="1:16" s="37" customFormat="1" ht="17.100000000000001" customHeight="1" x14ac:dyDescent="0.2">
      <c r="A10" s="48"/>
      <c r="B10" s="48"/>
      <c r="C10" s="31" t="s">
        <v>242</v>
      </c>
      <c r="D10" s="52"/>
      <c r="E10" s="36">
        <v>1</v>
      </c>
      <c r="F10" s="36">
        <v>2</v>
      </c>
      <c r="G10" s="36">
        <v>2</v>
      </c>
      <c r="H10" s="31" t="s">
        <v>244</v>
      </c>
      <c r="I10" s="36">
        <v>1</v>
      </c>
      <c r="J10" s="36">
        <v>0</v>
      </c>
      <c r="K10" s="36"/>
      <c r="L10" s="36"/>
      <c r="M10" s="55"/>
    </row>
    <row r="11" spans="1:16" s="37" customFormat="1" ht="17.100000000000001" customHeight="1" x14ac:dyDescent="0.2">
      <c r="A11" s="48"/>
      <c r="B11" s="48"/>
      <c r="C11" s="31" t="s">
        <v>243</v>
      </c>
      <c r="D11" s="53"/>
      <c r="E11" s="36">
        <v>1</v>
      </c>
      <c r="F11" s="36">
        <v>3</v>
      </c>
      <c r="G11" s="36">
        <v>3</v>
      </c>
      <c r="H11" s="31" t="s">
        <v>244</v>
      </c>
      <c r="I11" s="36">
        <v>1</v>
      </c>
      <c r="J11" s="36">
        <v>0</v>
      </c>
      <c r="K11" s="36"/>
      <c r="L11" s="36"/>
      <c r="M11" s="56"/>
    </row>
    <row r="12" spans="1:16" s="2" customFormat="1" ht="17.100000000000001" customHeight="1" x14ac:dyDescent="0.2">
      <c r="A12" s="48"/>
      <c r="B12" s="48"/>
      <c r="C12" s="32" t="s">
        <v>35</v>
      </c>
      <c r="D12" s="17">
        <f>MAX($D$6:D11)+1</f>
        <v>23</v>
      </c>
      <c r="E12" s="17">
        <v>16</v>
      </c>
      <c r="F12" s="17">
        <v>0</v>
      </c>
      <c r="G12" s="17">
        <v>15</v>
      </c>
      <c r="H12" s="16" t="s">
        <v>36</v>
      </c>
      <c r="I12" s="17">
        <v>0.1</v>
      </c>
      <c r="J12" s="17">
        <v>0</v>
      </c>
      <c r="K12" s="17" t="s">
        <v>37</v>
      </c>
      <c r="L12" s="17"/>
      <c r="M12" s="18" t="s">
        <v>38</v>
      </c>
    </row>
    <row r="13" spans="1:16" s="2" customFormat="1" ht="17.100000000000001" customHeight="1" x14ac:dyDescent="0.2">
      <c r="A13" s="48"/>
      <c r="B13" s="48"/>
      <c r="C13" s="32" t="s">
        <v>39</v>
      </c>
      <c r="D13" s="17">
        <f>MAX($D$6:D12)+1</f>
        <v>24</v>
      </c>
      <c r="E13" s="17">
        <v>16</v>
      </c>
      <c r="F13" s="17">
        <v>0</v>
      </c>
      <c r="G13" s="17">
        <v>15</v>
      </c>
      <c r="H13" s="16" t="s">
        <v>36</v>
      </c>
      <c r="I13" s="17">
        <v>0.1</v>
      </c>
      <c r="J13" s="17">
        <v>0</v>
      </c>
      <c r="K13" s="17" t="s">
        <v>40</v>
      </c>
      <c r="L13" s="17"/>
      <c r="M13" s="18" t="s">
        <v>41</v>
      </c>
    </row>
    <row r="14" spans="1:16" s="2" customFormat="1" ht="17.100000000000001" customHeight="1" x14ac:dyDescent="0.2">
      <c r="A14" s="48"/>
      <c r="B14" s="48"/>
      <c r="C14" s="32" t="s">
        <v>42</v>
      </c>
      <c r="D14" s="17">
        <f>MAX($D$6:D13)+1</f>
        <v>25</v>
      </c>
      <c r="E14" s="17">
        <v>16</v>
      </c>
      <c r="F14" s="17">
        <v>0</v>
      </c>
      <c r="G14" s="17">
        <v>15</v>
      </c>
      <c r="H14" s="16"/>
      <c r="I14" s="17">
        <v>0.1</v>
      </c>
      <c r="J14" s="17">
        <v>0</v>
      </c>
      <c r="K14" s="17" t="s">
        <v>37</v>
      </c>
      <c r="L14" s="17"/>
      <c r="M14" s="18" t="s">
        <v>43</v>
      </c>
    </row>
    <row r="15" spans="1:16" s="2" customFormat="1" ht="17.100000000000001" customHeight="1" x14ac:dyDescent="0.2">
      <c r="A15" s="49"/>
      <c r="B15" s="49"/>
      <c r="C15" s="32" t="s">
        <v>44</v>
      </c>
      <c r="D15" s="17">
        <f>MAX($D$6:D14)+1</f>
        <v>26</v>
      </c>
      <c r="E15" s="17">
        <v>16</v>
      </c>
      <c r="F15" s="17">
        <v>0</v>
      </c>
      <c r="G15" s="17">
        <v>15</v>
      </c>
      <c r="H15" s="16"/>
      <c r="I15" s="17">
        <v>0.1</v>
      </c>
      <c r="J15" s="17">
        <v>0</v>
      </c>
      <c r="K15" s="17" t="s">
        <v>40</v>
      </c>
      <c r="L15" s="17"/>
      <c r="M15" s="18" t="s">
        <v>45</v>
      </c>
    </row>
    <row r="16" spans="1:16" s="2" customFormat="1" ht="47.25" customHeight="1" x14ac:dyDescent="0.2">
      <c r="A16" s="46" t="s">
        <v>46</v>
      </c>
      <c r="B16" s="47" t="s">
        <v>25</v>
      </c>
      <c r="C16" s="32" t="s">
        <v>47</v>
      </c>
      <c r="D16" s="17">
        <f>MAX($D$6:D15)+1</f>
        <v>27</v>
      </c>
      <c r="E16" s="17">
        <v>8</v>
      </c>
      <c r="F16" s="17">
        <v>0</v>
      </c>
      <c r="G16" s="17">
        <v>7</v>
      </c>
      <c r="H16" s="16" t="s">
        <v>48</v>
      </c>
      <c r="I16" s="17">
        <v>1</v>
      </c>
      <c r="J16" s="17">
        <v>0</v>
      </c>
      <c r="K16" s="17"/>
      <c r="L16" s="17"/>
      <c r="M16" s="18" t="s">
        <v>49</v>
      </c>
    </row>
    <row r="17" spans="1:13" s="2" customFormat="1" ht="17.100000000000001" customHeight="1" x14ac:dyDescent="0.2">
      <c r="A17" s="46"/>
      <c r="B17" s="48"/>
      <c r="C17" s="32" t="s">
        <v>50</v>
      </c>
      <c r="D17" s="17">
        <f>MAX($D$6:D16)+1</f>
        <v>28</v>
      </c>
      <c r="E17" s="17">
        <v>8</v>
      </c>
      <c r="F17" s="17">
        <v>0</v>
      </c>
      <c r="G17" s="17">
        <v>7</v>
      </c>
      <c r="H17" s="21" t="s">
        <v>51</v>
      </c>
      <c r="I17" s="15">
        <v>1</v>
      </c>
      <c r="J17" s="17">
        <v>0</v>
      </c>
      <c r="K17" s="15"/>
      <c r="L17" s="15"/>
      <c r="M17" s="18" t="s">
        <v>52</v>
      </c>
    </row>
    <row r="18" spans="1:13" s="2" customFormat="1" ht="17.100000000000001" customHeight="1" x14ac:dyDescent="0.2">
      <c r="A18" s="46"/>
      <c r="B18" s="48"/>
      <c r="C18" s="32" t="s">
        <v>53</v>
      </c>
      <c r="D18" s="51">
        <f>MAX($D$6:D17)+1</f>
        <v>29</v>
      </c>
      <c r="E18" s="17">
        <v>4</v>
      </c>
      <c r="F18" s="17">
        <v>0</v>
      </c>
      <c r="G18" s="17">
        <v>3</v>
      </c>
      <c r="H18" s="16" t="s">
        <v>260</v>
      </c>
      <c r="I18" s="17">
        <v>1</v>
      </c>
      <c r="J18" s="17">
        <v>0</v>
      </c>
      <c r="K18" s="17"/>
      <c r="L18" s="17"/>
      <c r="M18" s="54" t="s">
        <v>54</v>
      </c>
    </row>
    <row r="19" spans="1:13" s="2" customFormat="1" ht="21.75" customHeight="1" x14ac:dyDescent="0.2">
      <c r="A19" s="46"/>
      <c r="B19" s="48"/>
      <c r="C19" s="32" t="s">
        <v>258</v>
      </c>
      <c r="D19" s="52"/>
      <c r="E19" s="17">
        <v>2</v>
      </c>
      <c r="F19" s="17">
        <v>4</v>
      </c>
      <c r="G19" s="17">
        <v>5</v>
      </c>
      <c r="H19" s="16" t="s">
        <v>238</v>
      </c>
      <c r="I19" s="15">
        <v>1</v>
      </c>
      <c r="J19" s="17">
        <v>0</v>
      </c>
      <c r="K19" s="15"/>
      <c r="L19" s="15"/>
      <c r="M19" s="55"/>
    </row>
    <row r="20" spans="1:13" s="37" customFormat="1" ht="23.25" customHeight="1" x14ac:dyDescent="0.2">
      <c r="A20" s="46"/>
      <c r="B20" s="48"/>
      <c r="C20" s="31" t="s">
        <v>255</v>
      </c>
      <c r="D20" s="52"/>
      <c r="E20" s="36">
        <v>2</v>
      </c>
      <c r="F20" s="36">
        <v>6</v>
      </c>
      <c r="G20" s="36">
        <v>7</v>
      </c>
      <c r="H20" s="44" t="s">
        <v>254</v>
      </c>
      <c r="I20" s="36">
        <v>1</v>
      </c>
      <c r="J20" s="36">
        <v>0</v>
      </c>
      <c r="K20" s="36"/>
      <c r="L20" s="45"/>
      <c r="M20" s="55"/>
    </row>
    <row r="21" spans="1:13" s="37" customFormat="1" ht="20.25" customHeight="1" x14ac:dyDescent="0.2">
      <c r="A21" s="46"/>
      <c r="B21" s="48"/>
      <c r="C21" s="31" t="s">
        <v>259</v>
      </c>
      <c r="D21" s="53"/>
      <c r="E21" s="36">
        <v>8</v>
      </c>
      <c r="F21" s="36">
        <v>8</v>
      </c>
      <c r="G21" s="36">
        <v>15</v>
      </c>
      <c r="H21" s="44" t="s">
        <v>259</v>
      </c>
      <c r="I21" s="36">
        <v>1</v>
      </c>
      <c r="J21" s="36">
        <v>0</v>
      </c>
      <c r="K21" s="36"/>
      <c r="L21" s="45"/>
      <c r="M21" s="56"/>
    </row>
    <row r="22" spans="1:13" s="2" customFormat="1" ht="17.100000000000001" customHeight="1" x14ac:dyDescent="0.2">
      <c r="A22" s="46"/>
      <c r="B22" s="48"/>
      <c r="C22" s="32" t="s">
        <v>55</v>
      </c>
      <c r="D22" s="17">
        <f>MAX($D$6:D21)+1</f>
        <v>30</v>
      </c>
      <c r="E22" s="17">
        <v>8</v>
      </c>
      <c r="F22" s="17">
        <v>0</v>
      </c>
      <c r="G22" s="17">
        <v>7</v>
      </c>
      <c r="H22" s="21" t="s">
        <v>55</v>
      </c>
      <c r="I22" s="15">
        <v>1</v>
      </c>
      <c r="J22" s="17">
        <v>0</v>
      </c>
      <c r="K22" s="15"/>
      <c r="L22" s="15"/>
      <c r="M22" s="18" t="s">
        <v>56</v>
      </c>
    </row>
    <row r="23" spans="1:13" s="2" customFormat="1" ht="17.100000000000001" customHeight="1" x14ac:dyDescent="0.2">
      <c r="A23" s="46"/>
      <c r="B23" s="48"/>
      <c r="C23" s="32" t="s">
        <v>57</v>
      </c>
      <c r="D23" s="17">
        <f>MAX($D$6:D22)+1</f>
        <v>31</v>
      </c>
      <c r="E23" s="17">
        <v>8</v>
      </c>
      <c r="F23" s="17">
        <v>0</v>
      </c>
      <c r="G23" s="17">
        <v>7</v>
      </c>
      <c r="H23" s="21" t="s">
        <v>57</v>
      </c>
      <c r="I23" s="15">
        <v>1</v>
      </c>
      <c r="J23" s="17">
        <v>0</v>
      </c>
      <c r="K23" s="15"/>
      <c r="L23" s="15"/>
      <c r="M23" s="18" t="s">
        <v>58</v>
      </c>
    </row>
    <row r="24" spans="1:13" s="2" customFormat="1" ht="17.100000000000001" customHeight="1" x14ac:dyDescent="0.2">
      <c r="A24" s="46"/>
      <c r="B24" s="48"/>
      <c r="C24" s="32" t="s">
        <v>59</v>
      </c>
      <c r="D24" s="17">
        <f>MAX($D$6:D23)+1</f>
        <v>32</v>
      </c>
      <c r="E24" s="17">
        <v>16</v>
      </c>
      <c r="F24" s="17">
        <v>0</v>
      </c>
      <c r="G24" s="17">
        <v>15</v>
      </c>
      <c r="H24" s="16" t="s">
        <v>60</v>
      </c>
      <c r="I24" s="17">
        <v>0.1</v>
      </c>
      <c r="J24" s="17">
        <v>0</v>
      </c>
      <c r="K24" s="17"/>
      <c r="L24" s="17"/>
      <c r="M24" s="18" t="s">
        <v>61</v>
      </c>
    </row>
    <row r="25" spans="1:13" s="2" customFormat="1" ht="17.100000000000001" customHeight="1" x14ac:dyDescent="0.2">
      <c r="A25" s="46"/>
      <c r="B25" s="48"/>
      <c r="C25" s="32" t="s">
        <v>62</v>
      </c>
      <c r="D25" s="17">
        <f>MAX($D$6:D24)+1</f>
        <v>33</v>
      </c>
      <c r="E25" s="17">
        <v>16</v>
      </c>
      <c r="F25" s="17">
        <v>0</v>
      </c>
      <c r="G25" s="17">
        <v>15</v>
      </c>
      <c r="H25" s="16" t="s">
        <v>63</v>
      </c>
      <c r="I25" s="17">
        <v>0.1</v>
      </c>
      <c r="J25" s="17">
        <v>0</v>
      </c>
      <c r="K25" s="17"/>
      <c r="L25" s="17"/>
      <c r="M25" s="18" t="s">
        <v>64</v>
      </c>
    </row>
    <row r="26" spans="1:13" s="2" customFormat="1" ht="17.100000000000001" customHeight="1" x14ac:dyDescent="0.2">
      <c r="A26" s="46"/>
      <c r="B26" s="48"/>
      <c r="C26" s="32" t="s">
        <v>65</v>
      </c>
      <c r="D26" s="17">
        <f>MAX($D$6:D25)+1</f>
        <v>34</v>
      </c>
      <c r="E26" s="17">
        <v>16</v>
      </c>
      <c r="F26" s="17">
        <v>0</v>
      </c>
      <c r="G26" s="17">
        <v>15</v>
      </c>
      <c r="H26" s="16" t="s">
        <v>66</v>
      </c>
      <c r="I26" s="17">
        <v>1</v>
      </c>
      <c r="J26" s="17">
        <v>0</v>
      </c>
      <c r="K26" s="17"/>
      <c r="L26" s="17"/>
      <c r="M26" s="18" t="s">
        <v>67</v>
      </c>
    </row>
    <row r="27" spans="1:13" s="2" customFormat="1" ht="17.100000000000001" customHeight="1" x14ac:dyDescent="0.2">
      <c r="A27" s="46"/>
      <c r="B27" s="48"/>
      <c r="C27" s="32" t="s">
        <v>68</v>
      </c>
      <c r="D27" s="17">
        <f>MAX($D$6:D26)+1</f>
        <v>35</v>
      </c>
      <c r="E27" s="17">
        <v>16</v>
      </c>
      <c r="F27" s="17">
        <v>0</v>
      </c>
      <c r="G27" s="17">
        <v>15</v>
      </c>
      <c r="H27" s="16" t="s">
        <v>69</v>
      </c>
      <c r="I27" s="17">
        <v>1</v>
      </c>
      <c r="J27" s="17">
        <v>0</v>
      </c>
      <c r="K27" s="17"/>
      <c r="L27" s="17"/>
      <c r="M27" s="18" t="s">
        <v>70</v>
      </c>
    </row>
    <row r="28" spans="1:13" s="2" customFormat="1" ht="17.100000000000001" customHeight="1" x14ac:dyDescent="0.2">
      <c r="A28" s="46"/>
      <c r="B28" s="48"/>
      <c r="C28" s="32" t="s">
        <v>71</v>
      </c>
      <c r="D28" s="17">
        <f>MAX($D$6:D27)+1</f>
        <v>36</v>
      </c>
      <c r="E28" s="17">
        <v>16</v>
      </c>
      <c r="F28" s="17">
        <v>0</v>
      </c>
      <c r="G28" s="17">
        <v>15</v>
      </c>
      <c r="H28" s="16" t="s">
        <v>72</v>
      </c>
      <c r="I28" s="17">
        <v>1</v>
      </c>
      <c r="J28" s="17">
        <v>0</v>
      </c>
      <c r="K28" s="17" t="s">
        <v>73</v>
      </c>
      <c r="L28" s="17"/>
      <c r="M28" s="18" t="s">
        <v>74</v>
      </c>
    </row>
    <row r="29" spans="1:13" s="2" customFormat="1" ht="17.100000000000001" customHeight="1" x14ac:dyDescent="0.2">
      <c r="A29" s="46" t="s">
        <v>75</v>
      </c>
      <c r="B29" s="48"/>
      <c r="C29" s="32" t="s">
        <v>76</v>
      </c>
      <c r="D29" s="51">
        <f>MAX($D$6:D28)+1</f>
        <v>37</v>
      </c>
      <c r="E29" s="17">
        <v>1</v>
      </c>
      <c r="F29" s="17">
        <v>0</v>
      </c>
      <c r="G29" s="17">
        <v>0</v>
      </c>
      <c r="H29" s="21" t="s">
        <v>77</v>
      </c>
      <c r="I29" s="17">
        <v>1</v>
      </c>
      <c r="J29" s="17">
        <v>0</v>
      </c>
      <c r="K29" s="15"/>
      <c r="L29" s="15"/>
      <c r="M29" s="54" t="s">
        <v>78</v>
      </c>
    </row>
    <row r="30" spans="1:13" s="2" customFormat="1" ht="17.100000000000001" customHeight="1" x14ac:dyDescent="0.2">
      <c r="A30" s="46"/>
      <c r="B30" s="48"/>
      <c r="C30" s="32" t="s">
        <v>79</v>
      </c>
      <c r="D30" s="52"/>
      <c r="E30" s="17">
        <v>1</v>
      </c>
      <c r="F30" s="17">
        <v>1</v>
      </c>
      <c r="G30" s="17">
        <v>1</v>
      </c>
      <c r="H30" s="21" t="s">
        <v>77</v>
      </c>
      <c r="I30" s="17">
        <v>1</v>
      </c>
      <c r="J30" s="17">
        <v>0</v>
      </c>
      <c r="K30" s="15"/>
      <c r="L30" s="15"/>
      <c r="M30" s="55"/>
    </row>
    <row r="31" spans="1:13" s="2" customFormat="1" ht="17.100000000000001" customHeight="1" x14ac:dyDescent="0.2">
      <c r="A31" s="46"/>
      <c r="B31" s="48"/>
      <c r="C31" s="32" t="s">
        <v>80</v>
      </c>
      <c r="D31" s="52"/>
      <c r="E31" s="17">
        <v>1</v>
      </c>
      <c r="F31" s="17">
        <v>2</v>
      </c>
      <c r="G31" s="17">
        <v>2</v>
      </c>
      <c r="H31" s="21" t="s">
        <v>77</v>
      </c>
      <c r="I31" s="17">
        <v>1</v>
      </c>
      <c r="J31" s="17">
        <v>0</v>
      </c>
      <c r="K31" s="15"/>
      <c r="L31" s="15"/>
      <c r="M31" s="55"/>
    </row>
    <row r="32" spans="1:13" s="2" customFormat="1" ht="17.100000000000001" customHeight="1" x14ac:dyDescent="0.2">
      <c r="A32" s="46"/>
      <c r="B32" s="48"/>
      <c r="C32" s="32" t="s">
        <v>81</v>
      </c>
      <c r="D32" s="52"/>
      <c r="E32" s="17">
        <v>1</v>
      </c>
      <c r="F32" s="17">
        <v>3</v>
      </c>
      <c r="G32" s="17">
        <v>3</v>
      </c>
      <c r="H32" s="21" t="s">
        <v>77</v>
      </c>
      <c r="I32" s="17">
        <v>1</v>
      </c>
      <c r="J32" s="17">
        <v>0</v>
      </c>
      <c r="K32" s="15"/>
      <c r="L32" s="15"/>
      <c r="M32" s="55"/>
    </row>
    <row r="33" spans="1:13" s="2" customFormat="1" ht="17.100000000000001" customHeight="1" x14ac:dyDescent="0.2">
      <c r="A33" s="46"/>
      <c r="B33" s="48"/>
      <c r="C33" s="32" t="s">
        <v>82</v>
      </c>
      <c r="D33" s="52"/>
      <c r="E33" s="17">
        <v>1</v>
      </c>
      <c r="F33" s="17">
        <v>4</v>
      </c>
      <c r="G33" s="17">
        <v>4</v>
      </c>
      <c r="H33" s="21" t="s">
        <v>77</v>
      </c>
      <c r="I33" s="17">
        <v>1</v>
      </c>
      <c r="J33" s="17">
        <v>0</v>
      </c>
      <c r="K33" s="15"/>
      <c r="L33" s="15"/>
      <c r="M33" s="55"/>
    </row>
    <row r="34" spans="1:13" s="2" customFormat="1" ht="17.100000000000001" customHeight="1" x14ac:dyDescent="0.2">
      <c r="A34" s="46"/>
      <c r="B34" s="48"/>
      <c r="C34" s="32" t="s">
        <v>83</v>
      </c>
      <c r="D34" s="53"/>
      <c r="E34" s="17">
        <v>1</v>
      </c>
      <c r="F34" s="17">
        <v>5</v>
      </c>
      <c r="G34" s="17">
        <v>5</v>
      </c>
      <c r="H34" s="21" t="s">
        <v>84</v>
      </c>
      <c r="I34" s="17">
        <v>1</v>
      </c>
      <c r="J34" s="17">
        <v>0</v>
      </c>
      <c r="K34" s="15"/>
      <c r="L34" s="15"/>
      <c r="M34" s="56"/>
    </row>
    <row r="35" spans="1:13" s="2" customFormat="1" ht="17.100000000000001" customHeight="1" x14ac:dyDescent="0.2">
      <c r="A35" s="46"/>
      <c r="B35" s="48"/>
      <c r="C35" s="32" t="s">
        <v>85</v>
      </c>
      <c r="D35" s="17">
        <f>MAX($D$6:D34)+1</f>
        <v>38</v>
      </c>
      <c r="E35" s="17">
        <v>8</v>
      </c>
      <c r="F35" s="17">
        <v>0</v>
      </c>
      <c r="G35" s="17">
        <v>7</v>
      </c>
      <c r="H35" s="21"/>
      <c r="I35" s="15">
        <v>1</v>
      </c>
      <c r="J35" s="15">
        <v>0</v>
      </c>
      <c r="K35" s="17" t="s">
        <v>86</v>
      </c>
      <c r="L35" s="15"/>
      <c r="M35" s="18" t="s">
        <v>87</v>
      </c>
    </row>
    <row r="36" spans="1:13" s="2" customFormat="1" ht="17.100000000000001" customHeight="1" x14ac:dyDescent="0.2">
      <c r="A36" s="46"/>
      <c r="B36" s="48"/>
      <c r="C36" s="32" t="s">
        <v>88</v>
      </c>
      <c r="D36" s="17">
        <f>MAX($D$6:D35)+1</f>
        <v>39</v>
      </c>
      <c r="E36" s="17">
        <v>8</v>
      </c>
      <c r="F36" s="17">
        <v>0</v>
      </c>
      <c r="G36" s="17">
        <v>7</v>
      </c>
      <c r="H36" s="16"/>
      <c r="I36" s="17">
        <v>1</v>
      </c>
      <c r="J36" s="17">
        <v>-40</v>
      </c>
      <c r="K36" s="17" t="s">
        <v>86</v>
      </c>
      <c r="L36" s="17"/>
      <c r="M36" s="18" t="s">
        <v>89</v>
      </c>
    </row>
    <row r="37" spans="1:13" s="2" customFormat="1" ht="17.100000000000001" customHeight="1" x14ac:dyDescent="0.2">
      <c r="A37" s="46" t="s">
        <v>90</v>
      </c>
      <c r="B37" s="48"/>
      <c r="C37" s="32" t="s">
        <v>91</v>
      </c>
      <c r="D37" s="17">
        <f>MAX($D$6:D36)+1</f>
        <v>40</v>
      </c>
      <c r="E37" s="17">
        <v>16</v>
      </c>
      <c r="F37" s="17">
        <v>0</v>
      </c>
      <c r="G37" s="17">
        <v>15</v>
      </c>
      <c r="H37" s="16" t="s">
        <v>92</v>
      </c>
      <c r="I37" s="17" t="s">
        <v>93</v>
      </c>
      <c r="J37" s="17">
        <v>-3000</v>
      </c>
      <c r="K37" s="17" t="s">
        <v>40</v>
      </c>
      <c r="L37" s="17"/>
      <c r="M37" s="18" t="s">
        <v>94</v>
      </c>
    </row>
    <row r="38" spans="1:13" s="2" customFormat="1" ht="17.100000000000001" customHeight="1" x14ac:dyDescent="0.2">
      <c r="A38" s="46"/>
      <c r="B38" s="48"/>
      <c r="C38" s="32" t="s">
        <v>95</v>
      </c>
      <c r="D38" s="17">
        <f>MAX($D$6:D37)+1</f>
        <v>41</v>
      </c>
      <c r="E38" s="17">
        <v>16</v>
      </c>
      <c r="F38" s="17">
        <v>0</v>
      </c>
      <c r="G38" s="17">
        <v>15</v>
      </c>
      <c r="H38" s="16"/>
      <c r="I38" s="17" t="s">
        <v>93</v>
      </c>
      <c r="J38" s="17">
        <v>-3000</v>
      </c>
      <c r="K38" s="17" t="s">
        <v>40</v>
      </c>
      <c r="L38" s="17"/>
      <c r="M38" s="18" t="s">
        <v>96</v>
      </c>
    </row>
    <row r="39" spans="1:13" s="2" customFormat="1" ht="17.100000000000001" customHeight="1" x14ac:dyDescent="0.2">
      <c r="A39" s="46"/>
      <c r="B39" s="48"/>
      <c r="C39" s="32" t="s">
        <v>97</v>
      </c>
      <c r="D39" s="17">
        <f>MAX($D$6:D38)+1</f>
        <v>42</v>
      </c>
      <c r="E39" s="17">
        <v>16</v>
      </c>
      <c r="F39" s="17">
        <v>0</v>
      </c>
      <c r="G39" s="17">
        <v>15</v>
      </c>
      <c r="H39" s="16"/>
      <c r="I39" s="17" t="s">
        <v>93</v>
      </c>
      <c r="J39" s="17">
        <v>-3000</v>
      </c>
      <c r="K39" s="17" t="s">
        <v>40</v>
      </c>
      <c r="L39" s="17"/>
      <c r="M39" s="18" t="s">
        <v>98</v>
      </c>
    </row>
    <row r="40" spans="1:13" s="2" customFormat="1" ht="17.100000000000001" customHeight="1" x14ac:dyDescent="0.2">
      <c r="A40" s="46"/>
      <c r="B40" s="48"/>
      <c r="C40" s="32" t="s">
        <v>97</v>
      </c>
      <c r="D40" s="17">
        <f>MAX($D$6:D39)+1</f>
        <v>43</v>
      </c>
      <c r="E40" s="17">
        <v>16</v>
      </c>
      <c r="F40" s="17">
        <v>0</v>
      </c>
      <c r="G40" s="17">
        <v>15</v>
      </c>
      <c r="H40" s="16"/>
      <c r="I40" s="17" t="s">
        <v>93</v>
      </c>
      <c r="J40" s="17">
        <v>-3000</v>
      </c>
      <c r="K40" s="17" t="s">
        <v>40</v>
      </c>
      <c r="L40" s="17"/>
      <c r="M40" s="18" t="s">
        <v>99</v>
      </c>
    </row>
    <row r="41" spans="1:13" s="2" customFormat="1" ht="17.100000000000001" customHeight="1" x14ac:dyDescent="0.2">
      <c r="A41" s="46"/>
      <c r="B41" s="48"/>
      <c r="C41" s="32" t="s">
        <v>97</v>
      </c>
      <c r="D41" s="17">
        <f>MAX($D$6:D40)+1</f>
        <v>44</v>
      </c>
      <c r="E41" s="17">
        <v>16</v>
      </c>
      <c r="F41" s="17">
        <v>0</v>
      </c>
      <c r="G41" s="17">
        <v>15</v>
      </c>
      <c r="H41" s="16"/>
      <c r="I41" s="17"/>
      <c r="J41" s="17"/>
      <c r="K41" s="17"/>
      <c r="L41" s="17"/>
      <c r="M41" s="18" t="s">
        <v>100</v>
      </c>
    </row>
    <row r="42" spans="1:13" s="2" customFormat="1" ht="17.100000000000001" customHeight="1" x14ac:dyDescent="0.2">
      <c r="A42" s="46"/>
      <c r="B42" s="48"/>
      <c r="C42" s="32" t="s">
        <v>97</v>
      </c>
      <c r="D42" s="17">
        <f>MAX($D$6:D41)+1</f>
        <v>45</v>
      </c>
      <c r="E42" s="17">
        <v>16</v>
      </c>
      <c r="F42" s="17">
        <v>0</v>
      </c>
      <c r="G42" s="17">
        <v>15</v>
      </c>
      <c r="H42" s="16"/>
      <c r="I42" s="17"/>
      <c r="J42" s="17"/>
      <c r="K42" s="17"/>
      <c r="L42" s="17"/>
      <c r="M42" s="18" t="s">
        <v>101</v>
      </c>
    </row>
    <row r="43" spans="1:13" s="2" customFormat="1" ht="17.100000000000001" customHeight="1" x14ac:dyDescent="0.2">
      <c r="A43" s="46" t="s">
        <v>102</v>
      </c>
      <c r="B43" s="48"/>
      <c r="C43" s="32" t="s">
        <v>103</v>
      </c>
      <c r="D43" s="17">
        <f>MAX($D$6:D42)+1</f>
        <v>46</v>
      </c>
      <c r="E43" s="17">
        <v>16</v>
      </c>
      <c r="F43" s="17">
        <v>0</v>
      </c>
      <c r="G43" s="17">
        <v>15</v>
      </c>
      <c r="H43" s="16" t="s">
        <v>104</v>
      </c>
      <c r="I43" s="17">
        <v>1</v>
      </c>
      <c r="J43" s="17">
        <v>0</v>
      </c>
      <c r="K43" s="17" t="s">
        <v>105</v>
      </c>
      <c r="L43" s="17"/>
      <c r="M43" s="18" t="s">
        <v>106</v>
      </c>
    </row>
    <row r="44" spans="1:13" s="2" customFormat="1" ht="17.100000000000001" customHeight="1" x14ac:dyDescent="0.2">
      <c r="A44" s="46"/>
      <c r="B44" s="48"/>
      <c r="C44" s="32" t="s">
        <v>107</v>
      </c>
      <c r="D44" s="23">
        <f>MAX($D$6:D43)+1</f>
        <v>47</v>
      </c>
      <c r="E44" s="17">
        <v>16</v>
      </c>
      <c r="F44" s="17">
        <v>0</v>
      </c>
      <c r="G44" s="17">
        <v>15</v>
      </c>
      <c r="I44" s="17">
        <v>0.1</v>
      </c>
      <c r="J44" s="17">
        <v>0</v>
      </c>
      <c r="K44" s="17" t="s">
        <v>37</v>
      </c>
      <c r="L44" s="24"/>
      <c r="M44" s="18" t="s">
        <v>108</v>
      </c>
    </row>
    <row r="45" spans="1:13" s="2" customFormat="1" ht="17.100000000000001" customHeight="1" x14ac:dyDescent="0.2">
      <c r="A45" s="46"/>
      <c r="B45" s="48"/>
      <c r="C45" s="32" t="s">
        <v>109</v>
      </c>
      <c r="D45" s="17">
        <f>MAX($D$6:D44)+1</f>
        <v>48</v>
      </c>
      <c r="E45" s="17">
        <v>16</v>
      </c>
      <c r="F45" s="17">
        <v>0</v>
      </c>
      <c r="G45" s="17">
        <v>15</v>
      </c>
      <c r="H45" s="16"/>
      <c r="I45" s="17">
        <v>0.1</v>
      </c>
      <c r="J45" s="17">
        <v>0</v>
      </c>
      <c r="K45" s="17" t="s">
        <v>37</v>
      </c>
      <c r="L45" s="17"/>
      <c r="M45" s="18" t="s">
        <v>43</v>
      </c>
    </row>
    <row r="46" spans="1:13" s="2" customFormat="1" ht="17.100000000000001" customHeight="1" x14ac:dyDescent="0.2">
      <c r="A46" s="46"/>
      <c r="B46" s="48"/>
      <c r="C46" s="32" t="s">
        <v>110</v>
      </c>
      <c r="D46" s="17">
        <f>MAX($D$6:D45)+1</f>
        <v>49</v>
      </c>
      <c r="E46" s="17">
        <v>16</v>
      </c>
      <c r="F46" s="17">
        <v>0</v>
      </c>
      <c r="G46" s="17">
        <v>15</v>
      </c>
      <c r="H46" s="16"/>
      <c r="I46" s="17">
        <v>0.1</v>
      </c>
      <c r="J46" s="17">
        <v>0</v>
      </c>
      <c r="K46" s="17" t="s">
        <v>37</v>
      </c>
      <c r="L46" s="17"/>
      <c r="M46" s="18" t="s">
        <v>111</v>
      </c>
    </row>
    <row r="47" spans="1:13" s="2" customFormat="1" ht="17.100000000000001" customHeight="1" x14ac:dyDescent="0.2">
      <c r="A47" s="46"/>
      <c r="B47" s="48"/>
      <c r="C47" s="32" t="s">
        <v>97</v>
      </c>
      <c r="D47" s="17">
        <f>MAX($D$6:D46)+1</f>
        <v>50</v>
      </c>
      <c r="E47" s="17">
        <v>16</v>
      </c>
      <c r="F47" s="17">
        <v>0</v>
      </c>
      <c r="G47" s="17">
        <v>15</v>
      </c>
      <c r="H47" s="16"/>
      <c r="I47" s="17">
        <v>0.1</v>
      </c>
      <c r="J47" s="17">
        <v>0</v>
      </c>
      <c r="K47" s="17" t="s">
        <v>37</v>
      </c>
      <c r="L47" s="17"/>
      <c r="M47" s="18" t="s">
        <v>112</v>
      </c>
    </row>
    <row r="48" spans="1:13" s="2" customFormat="1" ht="17.100000000000001" customHeight="1" x14ac:dyDescent="0.2">
      <c r="A48" s="46"/>
      <c r="B48" s="48"/>
      <c r="C48" s="32" t="s">
        <v>97</v>
      </c>
      <c r="D48" s="17">
        <f>MAX($D$6:D47)+1</f>
        <v>51</v>
      </c>
      <c r="E48" s="17">
        <v>16</v>
      </c>
      <c r="F48" s="17">
        <v>0</v>
      </c>
      <c r="G48" s="17">
        <v>15</v>
      </c>
      <c r="H48" s="16"/>
      <c r="I48" s="17"/>
      <c r="J48" s="17"/>
      <c r="K48" s="17"/>
      <c r="L48" s="17"/>
      <c r="M48" s="18" t="s">
        <v>113</v>
      </c>
    </row>
    <row r="49" spans="1:13" s="2" customFormat="1" ht="17.100000000000001" customHeight="1" x14ac:dyDescent="0.2">
      <c r="A49" s="46"/>
      <c r="B49" s="48"/>
      <c r="C49" s="32" t="s">
        <v>97</v>
      </c>
      <c r="D49" s="17">
        <f>MAX($D$6:D48)+1</f>
        <v>52</v>
      </c>
      <c r="E49" s="17">
        <v>16</v>
      </c>
      <c r="F49" s="17">
        <v>0</v>
      </c>
      <c r="G49" s="17">
        <v>15</v>
      </c>
      <c r="H49" s="16"/>
      <c r="I49" s="17"/>
      <c r="J49" s="17"/>
      <c r="K49" s="17"/>
      <c r="L49" s="17"/>
      <c r="M49" s="18" t="s">
        <v>114</v>
      </c>
    </row>
    <row r="50" spans="1:13" s="2" customFormat="1" ht="17.100000000000001" customHeight="1" x14ac:dyDescent="0.2">
      <c r="A50" s="46"/>
      <c r="B50" s="48"/>
      <c r="C50" s="32" t="s">
        <v>97</v>
      </c>
      <c r="D50" s="17">
        <f>MAX($D$6:D49)+1</f>
        <v>53</v>
      </c>
      <c r="E50" s="17">
        <v>16</v>
      </c>
      <c r="F50" s="17">
        <v>0</v>
      </c>
      <c r="G50" s="17">
        <v>15</v>
      </c>
      <c r="H50" s="16"/>
      <c r="I50" s="17"/>
      <c r="J50" s="17"/>
      <c r="K50" s="17"/>
      <c r="L50" s="17"/>
      <c r="M50" s="18" t="s">
        <v>115</v>
      </c>
    </row>
    <row r="51" spans="1:13" s="2" customFormat="1" ht="17.100000000000001" customHeight="1" x14ac:dyDescent="0.2">
      <c r="A51" s="50" t="s">
        <v>116</v>
      </c>
      <c r="B51" s="48"/>
      <c r="C51" s="32" t="s">
        <v>117</v>
      </c>
      <c r="D51" s="17">
        <f>MAX($D$6:D50)+1</f>
        <v>54</v>
      </c>
      <c r="E51" s="17">
        <v>16</v>
      </c>
      <c r="F51" s="17">
        <v>0</v>
      </c>
      <c r="G51" s="17">
        <v>15</v>
      </c>
      <c r="H51" s="16"/>
      <c r="I51" s="17">
        <v>1</v>
      </c>
      <c r="J51" s="17">
        <v>0</v>
      </c>
      <c r="K51" s="17" t="s">
        <v>105</v>
      </c>
      <c r="L51" s="17"/>
      <c r="M51" s="18" t="s">
        <v>118</v>
      </c>
    </row>
    <row r="52" spans="1:13" s="2" customFormat="1" ht="17.100000000000001" customHeight="1" x14ac:dyDescent="0.2">
      <c r="A52" s="50"/>
      <c r="B52" s="48"/>
      <c r="C52" s="32" t="s">
        <v>119</v>
      </c>
      <c r="D52" s="17">
        <f>MAX($D$6:D51)+1</f>
        <v>55</v>
      </c>
      <c r="E52" s="17">
        <v>8</v>
      </c>
      <c r="F52" s="17">
        <v>0</v>
      </c>
      <c r="G52" s="17">
        <v>7</v>
      </c>
      <c r="H52" s="16"/>
      <c r="I52" s="17">
        <v>1</v>
      </c>
      <c r="J52" s="17">
        <v>0</v>
      </c>
      <c r="K52" s="17"/>
      <c r="L52" s="17"/>
      <c r="M52" s="18" t="s">
        <v>120</v>
      </c>
    </row>
    <row r="53" spans="1:13" s="2" customFormat="1" ht="17.100000000000001" customHeight="1" x14ac:dyDescent="0.2">
      <c r="A53" s="50"/>
      <c r="B53" s="48"/>
      <c r="C53" s="32" t="s">
        <v>121</v>
      </c>
      <c r="D53" s="17">
        <f>MAX($D$6:D52)+1</f>
        <v>56</v>
      </c>
      <c r="E53" s="17">
        <v>8</v>
      </c>
      <c r="F53" s="17">
        <v>0</v>
      </c>
      <c r="G53" s="17">
        <v>7</v>
      </c>
      <c r="H53" s="16" t="s">
        <v>122</v>
      </c>
      <c r="I53" s="17">
        <v>1</v>
      </c>
      <c r="J53" s="17">
        <v>0</v>
      </c>
      <c r="K53" s="17"/>
      <c r="L53" s="17"/>
      <c r="M53" s="18" t="s">
        <v>123</v>
      </c>
    </row>
    <row r="54" spans="1:13" s="2" customFormat="1" ht="17.100000000000001" customHeight="1" x14ac:dyDescent="0.2">
      <c r="A54" s="50"/>
      <c r="B54" s="48"/>
      <c r="C54" s="32" t="s">
        <v>97</v>
      </c>
      <c r="D54" s="17">
        <f>MAX($D$6:D53)+1</f>
        <v>57</v>
      </c>
      <c r="E54" s="17">
        <v>16</v>
      </c>
      <c r="F54" s="17">
        <v>0</v>
      </c>
      <c r="G54" s="17">
        <v>15</v>
      </c>
      <c r="H54" s="16"/>
      <c r="I54" s="17">
        <v>1</v>
      </c>
      <c r="J54" s="17">
        <v>0</v>
      </c>
      <c r="K54" s="17" t="s">
        <v>105</v>
      </c>
      <c r="L54" s="17"/>
      <c r="M54" s="18" t="s">
        <v>124</v>
      </c>
    </row>
    <row r="55" spans="1:13" s="2" customFormat="1" ht="17.100000000000001" customHeight="1" x14ac:dyDescent="0.2">
      <c r="A55" s="50"/>
      <c r="B55" s="48"/>
      <c r="C55" s="32" t="s">
        <v>97</v>
      </c>
      <c r="D55" s="17">
        <f>MAX($D$6:D54)+1</f>
        <v>58</v>
      </c>
      <c r="E55" s="17">
        <v>8</v>
      </c>
      <c r="F55" s="17">
        <v>0</v>
      </c>
      <c r="G55" s="17">
        <v>7</v>
      </c>
      <c r="H55" s="16"/>
      <c r="I55" s="17">
        <v>1</v>
      </c>
      <c r="J55" s="17">
        <v>0</v>
      </c>
      <c r="K55" s="17"/>
      <c r="L55" s="17"/>
      <c r="M55" s="18" t="s">
        <v>125</v>
      </c>
    </row>
    <row r="56" spans="1:13" s="2" customFormat="1" ht="17.100000000000001" customHeight="1" x14ac:dyDescent="0.2">
      <c r="A56" s="50"/>
      <c r="B56" s="48"/>
      <c r="C56" s="32" t="s">
        <v>97</v>
      </c>
      <c r="D56" s="17">
        <f>MAX($D$6:D55)+1</f>
        <v>59</v>
      </c>
      <c r="E56" s="17">
        <v>8</v>
      </c>
      <c r="F56" s="17">
        <v>0</v>
      </c>
      <c r="G56" s="17">
        <v>7</v>
      </c>
      <c r="H56" s="16" t="s">
        <v>122</v>
      </c>
      <c r="I56" s="17">
        <v>1</v>
      </c>
      <c r="J56" s="17">
        <v>0</v>
      </c>
      <c r="K56" s="17"/>
      <c r="L56" s="17"/>
      <c r="M56" s="18" t="s">
        <v>126</v>
      </c>
    </row>
    <row r="57" spans="1:13" s="2" customFormat="1" ht="17.100000000000001" customHeight="1" x14ac:dyDescent="0.2">
      <c r="A57" s="50"/>
      <c r="B57" s="48"/>
      <c r="C57" s="32" t="s">
        <v>97</v>
      </c>
      <c r="D57" s="17">
        <f>MAX($D$6:D56)+1</f>
        <v>60</v>
      </c>
      <c r="E57" s="17">
        <v>16</v>
      </c>
      <c r="F57" s="17">
        <v>0</v>
      </c>
      <c r="G57" s="17">
        <v>15</v>
      </c>
      <c r="H57" s="16"/>
      <c r="I57" s="17">
        <v>1</v>
      </c>
      <c r="J57" s="17">
        <v>0</v>
      </c>
      <c r="K57" s="17" t="s">
        <v>105</v>
      </c>
      <c r="L57" s="17"/>
      <c r="M57" s="18" t="s">
        <v>127</v>
      </c>
    </row>
    <row r="58" spans="1:13" s="2" customFormat="1" ht="17.100000000000001" customHeight="1" x14ac:dyDescent="0.2">
      <c r="A58" s="50"/>
      <c r="B58" s="48"/>
      <c r="C58" s="32" t="s">
        <v>97</v>
      </c>
      <c r="D58" s="17">
        <f>MAX($D$6:D57)+1</f>
        <v>61</v>
      </c>
      <c r="E58" s="17">
        <v>8</v>
      </c>
      <c r="F58" s="17">
        <v>0</v>
      </c>
      <c r="G58" s="17">
        <v>7</v>
      </c>
      <c r="H58" s="16"/>
      <c r="I58" s="17">
        <v>1</v>
      </c>
      <c r="J58" s="17">
        <v>0</v>
      </c>
      <c r="K58" s="17"/>
      <c r="L58" s="17"/>
      <c r="M58" s="18" t="s">
        <v>128</v>
      </c>
    </row>
    <row r="59" spans="1:13" s="2" customFormat="1" ht="17.100000000000001" customHeight="1" x14ac:dyDescent="0.2">
      <c r="A59" s="50"/>
      <c r="B59" s="48"/>
      <c r="C59" s="32" t="s">
        <v>97</v>
      </c>
      <c r="D59" s="17">
        <f>MAX($D$6:D58)+1</f>
        <v>62</v>
      </c>
      <c r="E59" s="17">
        <v>8</v>
      </c>
      <c r="F59" s="17">
        <v>0</v>
      </c>
      <c r="G59" s="17">
        <v>7</v>
      </c>
      <c r="H59" s="16" t="s">
        <v>122</v>
      </c>
      <c r="I59" s="17">
        <v>1</v>
      </c>
      <c r="J59" s="17">
        <v>0</v>
      </c>
      <c r="K59" s="17"/>
      <c r="L59" s="17"/>
      <c r="M59" s="18" t="s">
        <v>129</v>
      </c>
    </row>
    <row r="60" spans="1:13" s="2" customFormat="1" ht="17.100000000000001" customHeight="1" x14ac:dyDescent="0.2">
      <c r="A60" s="50"/>
      <c r="B60" s="48"/>
      <c r="C60" s="32" t="s">
        <v>97</v>
      </c>
      <c r="D60" s="17">
        <f>MAX($D$6:D59)+1</f>
        <v>63</v>
      </c>
      <c r="E60" s="17">
        <v>16</v>
      </c>
      <c r="F60" s="17">
        <v>0</v>
      </c>
      <c r="G60" s="17">
        <v>15</v>
      </c>
      <c r="H60" s="16"/>
      <c r="I60" s="17">
        <v>1</v>
      </c>
      <c r="J60" s="17">
        <v>0</v>
      </c>
      <c r="K60" s="17" t="s">
        <v>105</v>
      </c>
      <c r="L60" s="17"/>
      <c r="M60" s="18" t="s">
        <v>130</v>
      </c>
    </row>
    <row r="61" spans="1:13" s="2" customFormat="1" ht="17.100000000000001" customHeight="1" x14ac:dyDescent="0.2">
      <c r="A61" s="50"/>
      <c r="B61" s="48"/>
      <c r="C61" s="32" t="s">
        <v>97</v>
      </c>
      <c r="D61" s="17">
        <f>MAX($D$6:D60)+1</f>
        <v>64</v>
      </c>
      <c r="E61" s="17">
        <v>8</v>
      </c>
      <c r="F61" s="17">
        <v>0</v>
      </c>
      <c r="G61" s="17">
        <v>7</v>
      </c>
      <c r="H61" s="16"/>
      <c r="I61" s="17">
        <v>1</v>
      </c>
      <c r="J61" s="17">
        <v>0</v>
      </c>
      <c r="K61" s="17"/>
      <c r="L61" s="17"/>
      <c r="M61" s="18" t="s">
        <v>131</v>
      </c>
    </row>
    <row r="62" spans="1:13" s="2" customFormat="1" ht="17.100000000000001" customHeight="1" x14ac:dyDescent="0.2">
      <c r="A62" s="50"/>
      <c r="B62" s="48"/>
      <c r="C62" s="32" t="s">
        <v>97</v>
      </c>
      <c r="D62" s="17">
        <f>MAX($D$6:D61)+1</f>
        <v>65</v>
      </c>
      <c r="E62" s="17">
        <v>8</v>
      </c>
      <c r="F62" s="17">
        <v>0</v>
      </c>
      <c r="G62" s="17">
        <v>7</v>
      </c>
      <c r="H62" s="16" t="s">
        <v>122</v>
      </c>
      <c r="I62" s="17">
        <v>1</v>
      </c>
      <c r="J62" s="17">
        <v>0</v>
      </c>
      <c r="K62" s="17"/>
      <c r="L62" s="17"/>
      <c r="M62" s="18" t="s">
        <v>132</v>
      </c>
    </row>
    <row r="63" spans="1:13" s="2" customFormat="1" ht="17.100000000000001" customHeight="1" x14ac:dyDescent="0.2">
      <c r="A63" s="50"/>
      <c r="B63" s="48"/>
      <c r="C63" s="32" t="s">
        <v>97</v>
      </c>
      <c r="D63" s="17">
        <f>MAX($D$6:D62)+1</f>
        <v>66</v>
      </c>
      <c r="E63" s="17">
        <v>16</v>
      </c>
      <c r="F63" s="17">
        <v>0</v>
      </c>
      <c r="G63" s="17">
        <v>15</v>
      </c>
      <c r="H63" s="16"/>
      <c r="I63" s="17">
        <v>1</v>
      </c>
      <c r="J63" s="17">
        <v>0</v>
      </c>
      <c r="K63" s="17" t="s">
        <v>105</v>
      </c>
      <c r="L63" s="17"/>
      <c r="M63" s="18" t="s">
        <v>133</v>
      </c>
    </row>
    <row r="64" spans="1:13" s="2" customFormat="1" ht="17.100000000000001" customHeight="1" x14ac:dyDescent="0.2">
      <c r="A64" s="50"/>
      <c r="B64" s="48"/>
      <c r="C64" s="32" t="s">
        <v>97</v>
      </c>
      <c r="D64" s="17">
        <f>MAX($D$6:D63)+1</f>
        <v>67</v>
      </c>
      <c r="E64" s="17">
        <v>8</v>
      </c>
      <c r="F64" s="17">
        <v>0</v>
      </c>
      <c r="G64" s="17">
        <v>7</v>
      </c>
      <c r="H64" s="16"/>
      <c r="I64" s="17">
        <v>1</v>
      </c>
      <c r="J64" s="17">
        <v>0</v>
      </c>
      <c r="K64" s="17"/>
      <c r="L64" s="17"/>
      <c r="M64" s="18" t="s">
        <v>134</v>
      </c>
    </row>
    <row r="65" spans="1:13" s="2" customFormat="1" ht="17.100000000000001" customHeight="1" x14ac:dyDescent="0.2">
      <c r="A65" s="50"/>
      <c r="B65" s="48"/>
      <c r="C65" s="32" t="s">
        <v>97</v>
      </c>
      <c r="D65" s="17">
        <f>MAX($D$6:D64)+1</f>
        <v>68</v>
      </c>
      <c r="E65" s="17">
        <v>8</v>
      </c>
      <c r="F65" s="17">
        <v>0</v>
      </c>
      <c r="G65" s="17">
        <v>7</v>
      </c>
      <c r="H65" s="16" t="s">
        <v>122</v>
      </c>
      <c r="I65" s="17">
        <v>1</v>
      </c>
      <c r="J65" s="17">
        <v>0</v>
      </c>
      <c r="K65" s="17"/>
      <c r="L65" s="17"/>
      <c r="M65" s="18" t="s">
        <v>135</v>
      </c>
    </row>
    <row r="66" spans="1:13" s="2" customFormat="1" ht="17.100000000000001" customHeight="1" x14ac:dyDescent="0.2">
      <c r="A66" s="50"/>
      <c r="B66" s="48"/>
      <c r="C66" s="32" t="s">
        <v>136</v>
      </c>
      <c r="D66" s="17">
        <f>MAX($D$6:D65)+1</f>
        <v>69</v>
      </c>
      <c r="E66" s="17">
        <v>16</v>
      </c>
      <c r="F66" s="17">
        <v>0</v>
      </c>
      <c r="G66" s="17">
        <v>15</v>
      </c>
      <c r="H66" s="16"/>
      <c r="I66" s="17">
        <v>1</v>
      </c>
      <c r="J66" s="17">
        <v>0</v>
      </c>
      <c r="K66" s="17" t="s">
        <v>105</v>
      </c>
      <c r="L66" s="17"/>
      <c r="M66" s="18" t="s">
        <v>137</v>
      </c>
    </row>
    <row r="67" spans="1:13" s="2" customFormat="1" ht="17.100000000000001" customHeight="1" x14ac:dyDescent="0.2">
      <c r="A67" s="50"/>
      <c r="B67" s="48"/>
      <c r="C67" s="32" t="s">
        <v>138</v>
      </c>
      <c r="D67" s="17">
        <f>MAX($D$6:D66)+1</f>
        <v>70</v>
      </c>
      <c r="E67" s="17">
        <v>8</v>
      </c>
      <c r="F67" s="17">
        <v>0</v>
      </c>
      <c r="G67" s="17">
        <v>7</v>
      </c>
      <c r="H67" s="16"/>
      <c r="I67" s="17">
        <v>1</v>
      </c>
      <c r="J67" s="17">
        <v>0</v>
      </c>
      <c r="K67" s="17"/>
      <c r="L67" s="17"/>
      <c r="M67" s="18" t="s">
        <v>139</v>
      </c>
    </row>
    <row r="68" spans="1:13" s="2" customFormat="1" ht="17.100000000000001" customHeight="1" x14ac:dyDescent="0.2">
      <c r="A68" s="50"/>
      <c r="B68" s="48"/>
      <c r="C68" s="32" t="s">
        <v>140</v>
      </c>
      <c r="D68" s="17">
        <f>MAX($D$6:D67)+1</f>
        <v>71</v>
      </c>
      <c r="E68" s="17">
        <v>8</v>
      </c>
      <c r="F68" s="17">
        <v>0</v>
      </c>
      <c r="G68" s="17">
        <v>7</v>
      </c>
      <c r="H68" s="16" t="s">
        <v>122</v>
      </c>
      <c r="I68" s="17">
        <v>1</v>
      </c>
      <c r="J68" s="17">
        <v>0</v>
      </c>
      <c r="K68" s="17"/>
      <c r="L68" s="17"/>
      <c r="M68" s="18" t="s">
        <v>141</v>
      </c>
    </row>
    <row r="69" spans="1:13" s="2" customFormat="1" ht="17.100000000000001" customHeight="1" x14ac:dyDescent="0.2">
      <c r="A69" s="50"/>
      <c r="B69" s="48"/>
      <c r="C69" s="32" t="s">
        <v>97</v>
      </c>
      <c r="D69" s="17">
        <f>MAX($D$6:D68)+1</f>
        <v>72</v>
      </c>
      <c r="E69" s="17">
        <v>16</v>
      </c>
      <c r="F69" s="17">
        <v>0</v>
      </c>
      <c r="G69" s="17">
        <v>15</v>
      </c>
      <c r="H69" s="16"/>
      <c r="I69" s="17">
        <v>1</v>
      </c>
      <c r="J69" s="17">
        <v>0</v>
      </c>
      <c r="K69" s="17" t="s">
        <v>105</v>
      </c>
      <c r="L69" s="17"/>
      <c r="M69" s="18" t="s">
        <v>142</v>
      </c>
    </row>
    <row r="70" spans="1:13" s="2" customFormat="1" ht="17.100000000000001" customHeight="1" x14ac:dyDescent="0.2">
      <c r="A70" s="50"/>
      <c r="B70" s="48"/>
      <c r="C70" s="32" t="s">
        <v>97</v>
      </c>
      <c r="D70" s="17">
        <f>MAX($D$6:D69)+1</f>
        <v>73</v>
      </c>
      <c r="E70" s="17">
        <v>8</v>
      </c>
      <c r="F70" s="17">
        <v>0</v>
      </c>
      <c r="G70" s="17">
        <v>7</v>
      </c>
      <c r="H70" s="16"/>
      <c r="I70" s="17">
        <v>1</v>
      </c>
      <c r="J70" s="17">
        <v>0</v>
      </c>
      <c r="K70" s="17"/>
      <c r="L70" s="17"/>
      <c r="M70" s="18" t="s">
        <v>143</v>
      </c>
    </row>
    <row r="71" spans="1:13" s="2" customFormat="1" ht="17.100000000000001" customHeight="1" x14ac:dyDescent="0.2">
      <c r="A71" s="50"/>
      <c r="B71" s="48"/>
      <c r="C71" s="32" t="s">
        <v>97</v>
      </c>
      <c r="D71" s="17">
        <f>MAX($D$6:D70)+1</f>
        <v>74</v>
      </c>
      <c r="E71" s="17">
        <v>8</v>
      </c>
      <c r="F71" s="17">
        <v>0</v>
      </c>
      <c r="G71" s="17">
        <v>7</v>
      </c>
      <c r="H71" s="16" t="s">
        <v>122</v>
      </c>
      <c r="I71" s="17">
        <v>1</v>
      </c>
      <c r="J71" s="17">
        <v>0</v>
      </c>
      <c r="K71" s="17"/>
      <c r="L71" s="17"/>
      <c r="M71" s="18" t="s">
        <v>144</v>
      </c>
    </row>
    <row r="72" spans="1:13" s="2" customFormat="1" ht="17.100000000000001" customHeight="1" x14ac:dyDescent="0.2">
      <c r="A72" s="50"/>
      <c r="B72" s="48"/>
      <c r="C72" s="32" t="s">
        <v>97</v>
      </c>
      <c r="D72" s="17">
        <f>MAX($D$6:D71)+1</f>
        <v>75</v>
      </c>
      <c r="E72" s="17">
        <v>16</v>
      </c>
      <c r="F72" s="17">
        <v>0</v>
      </c>
      <c r="G72" s="17">
        <v>15</v>
      </c>
      <c r="H72" s="16"/>
      <c r="I72" s="17">
        <v>1</v>
      </c>
      <c r="J72" s="17">
        <v>0</v>
      </c>
      <c r="K72" s="17" t="s">
        <v>105</v>
      </c>
      <c r="L72" s="17"/>
      <c r="M72" s="18" t="s">
        <v>145</v>
      </c>
    </row>
    <row r="73" spans="1:13" s="2" customFormat="1" ht="17.100000000000001" customHeight="1" x14ac:dyDescent="0.2">
      <c r="A73" s="50"/>
      <c r="B73" s="48"/>
      <c r="C73" s="32" t="s">
        <v>97</v>
      </c>
      <c r="D73" s="17">
        <f>MAX($D$6:D72)+1</f>
        <v>76</v>
      </c>
      <c r="E73" s="17">
        <v>8</v>
      </c>
      <c r="F73" s="17">
        <v>0</v>
      </c>
      <c r="G73" s="17">
        <v>7</v>
      </c>
      <c r="H73" s="16"/>
      <c r="I73" s="17">
        <v>1</v>
      </c>
      <c r="J73" s="17">
        <v>0</v>
      </c>
      <c r="K73" s="17"/>
      <c r="L73" s="17"/>
      <c r="M73" s="18" t="s">
        <v>146</v>
      </c>
    </row>
    <row r="74" spans="1:13" s="2" customFormat="1" ht="17.100000000000001" customHeight="1" x14ac:dyDescent="0.2">
      <c r="A74" s="50"/>
      <c r="B74" s="48"/>
      <c r="C74" s="32" t="s">
        <v>97</v>
      </c>
      <c r="D74" s="17">
        <f>MAX($D$6:D73)+1</f>
        <v>77</v>
      </c>
      <c r="E74" s="17">
        <v>8</v>
      </c>
      <c r="F74" s="17">
        <v>0</v>
      </c>
      <c r="G74" s="17">
        <v>7</v>
      </c>
      <c r="H74" s="16" t="s">
        <v>122</v>
      </c>
      <c r="I74" s="17">
        <v>1</v>
      </c>
      <c r="J74" s="17">
        <v>0</v>
      </c>
      <c r="K74" s="17"/>
      <c r="L74" s="17"/>
      <c r="M74" s="18" t="s">
        <v>147</v>
      </c>
    </row>
    <row r="75" spans="1:13" s="2" customFormat="1" ht="17.100000000000001" customHeight="1" x14ac:dyDescent="0.2">
      <c r="A75" s="50"/>
      <c r="B75" s="48"/>
      <c r="C75" s="32" t="s">
        <v>97</v>
      </c>
      <c r="D75" s="17">
        <f>MAX($D$6:D74)+1</f>
        <v>78</v>
      </c>
      <c r="E75" s="17">
        <v>16</v>
      </c>
      <c r="F75" s="17">
        <v>0</v>
      </c>
      <c r="G75" s="17">
        <v>15</v>
      </c>
      <c r="H75" s="16"/>
      <c r="I75" s="17">
        <v>1</v>
      </c>
      <c r="J75" s="17">
        <v>0</v>
      </c>
      <c r="K75" s="17" t="s">
        <v>105</v>
      </c>
      <c r="L75" s="17"/>
      <c r="M75" s="18" t="s">
        <v>148</v>
      </c>
    </row>
    <row r="76" spans="1:13" s="2" customFormat="1" ht="17.100000000000001" customHeight="1" x14ac:dyDescent="0.2">
      <c r="A76" s="50"/>
      <c r="B76" s="48"/>
      <c r="C76" s="32" t="s">
        <v>97</v>
      </c>
      <c r="D76" s="17">
        <f>MAX($D$6:D75)+1</f>
        <v>79</v>
      </c>
      <c r="E76" s="17">
        <v>8</v>
      </c>
      <c r="F76" s="17">
        <v>0</v>
      </c>
      <c r="G76" s="17">
        <v>7</v>
      </c>
      <c r="H76" s="16"/>
      <c r="I76" s="17">
        <v>1</v>
      </c>
      <c r="J76" s="17">
        <v>0</v>
      </c>
      <c r="K76" s="17"/>
      <c r="L76" s="17"/>
      <c r="M76" s="18" t="s">
        <v>149</v>
      </c>
    </row>
    <row r="77" spans="1:13" s="2" customFormat="1" ht="17.100000000000001" customHeight="1" x14ac:dyDescent="0.2">
      <c r="A77" s="50"/>
      <c r="B77" s="48"/>
      <c r="C77" s="32" t="s">
        <v>97</v>
      </c>
      <c r="D77" s="17">
        <f>MAX($D$6:D76)+1</f>
        <v>80</v>
      </c>
      <c r="E77" s="17">
        <v>8</v>
      </c>
      <c r="F77" s="17">
        <v>0</v>
      </c>
      <c r="G77" s="17">
        <v>7</v>
      </c>
      <c r="H77" s="16" t="s">
        <v>122</v>
      </c>
      <c r="I77" s="17">
        <v>1</v>
      </c>
      <c r="J77" s="17">
        <v>0</v>
      </c>
      <c r="K77" s="17"/>
      <c r="L77" s="17"/>
      <c r="M77" s="18" t="s">
        <v>150</v>
      </c>
    </row>
    <row r="78" spans="1:13" s="2" customFormat="1" ht="17.100000000000001" customHeight="1" x14ac:dyDescent="0.2">
      <c r="A78" s="50"/>
      <c r="B78" s="48"/>
      <c r="C78" s="32" t="s">
        <v>97</v>
      </c>
      <c r="D78" s="17">
        <f>MAX($D$6:D77)+1</f>
        <v>81</v>
      </c>
      <c r="E78" s="17">
        <v>16</v>
      </c>
      <c r="F78" s="17">
        <v>0</v>
      </c>
      <c r="G78" s="17">
        <v>15</v>
      </c>
      <c r="H78" s="16"/>
      <c r="I78" s="17">
        <v>1</v>
      </c>
      <c r="J78" s="17">
        <v>0</v>
      </c>
      <c r="K78" s="17" t="s">
        <v>105</v>
      </c>
      <c r="L78" s="17"/>
      <c r="M78" s="18" t="s">
        <v>151</v>
      </c>
    </row>
    <row r="79" spans="1:13" s="2" customFormat="1" ht="17.100000000000001" customHeight="1" x14ac:dyDescent="0.2">
      <c r="A79" s="50"/>
      <c r="B79" s="48"/>
      <c r="C79" s="32" t="s">
        <v>97</v>
      </c>
      <c r="D79" s="17">
        <f>MAX($D$6:D78)+1</f>
        <v>82</v>
      </c>
      <c r="E79" s="17">
        <v>8</v>
      </c>
      <c r="F79" s="17">
        <v>0</v>
      </c>
      <c r="G79" s="17">
        <v>7</v>
      </c>
      <c r="H79" s="16"/>
      <c r="I79" s="17">
        <v>1</v>
      </c>
      <c r="J79" s="17">
        <v>0</v>
      </c>
      <c r="K79" s="17"/>
      <c r="L79" s="17"/>
      <c r="M79" s="18" t="s">
        <v>152</v>
      </c>
    </row>
    <row r="80" spans="1:13" s="2" customFormat="1" ht="17.100000000000001" customHeight="1" x14ac:dyDescent="0.2">
      <c r="A80" s="50"/>
      <c r="B80" s="48"/>
      <c r="C80" s="32" t="s">
        <v>97</v>
      </c>
      <c r="D80" s="17">
        <f>MAX($D$6:D79)+1</f>
        <v>83</v>
      </c>
      <c r="E80" s="17">
        <v>8</v>
      </c>
      <c r="F80" s="17">
        <v>0</v>
      </c>
      <c r="G80" s="17">
        <v>7</v>
      </c>
      <c r="H80" s="16" t="s">
        <v>122</v>
      </c>
      <c r="I80" s="17">
        <v>1</v>
      </c>
      <c r="J80" s="17">
        <v>0</v>
      </c>
      <c r="K80" s="17"/>
      <c r="L80" s="17"/>
      <c r="M80" s="18" t="s">
        <v>153</v>
      </c>
    </row>
    <row r="81" spans="1:13" s="2" customFormat="1" ht="17.100000000000001" customHeight="1" x14ac:dyDescent="0.2">
      <c r="A81" s="50" t="s">
        <v>154</v>
      </c>
      <c r="B81" s="48"/>
      <c r="C81" s="32" t="s">
        <v>155</v>
      </c>
      <c r="D81" s="17">
        <f>MAX($D$6:D80)+1</f>
        <v>84</v>
      </c>
      <c r="E81" s="17">
        <v>8</v>
      </c>
      <c r="F81" s="17">
        <v>0</v>
      </c>
      <c r="G81" s="17">
        <v>7</v>
      </c>
      <c r="H81" s="16"/>
      <c r="I81" s="17">
        <v>1</v>
      </c>
      <c r="J81" s="17">
        <v>0</v>
      </c>
      <c r="K81" s="17">
        <v>-40</v>
      </c>
      <c r="L81" s="17" t="s">
        <v>86</v>
      </c>
      <c r="M81" s="18" t="s">
        <v>156</v>
      </c>
    </row>
    <row r="82" spans="1:13" s="2" customFormat="1" ht="17.100000000000001" customHeight="1" x14ac:dyDescent="0.2">
      <c r="A82" s="50"/>
      <c r="B82" s="48"/>
      <c r="C82" s="32" t="s">
        <v>157</v>
      </c>
      <c r="D82" s="17">
        <f>MAX($D$6:D81)+1</f>
        <v>85</v>
      </c>
      <c r="E82" s="17">
        <v>8</v>
      </c>
      <c r="F82" s="17">
        <v>0</v>
      </c>
      <c r="G82" s="17">
        <v>7</v>
      </c>
      <c r="H82" s="16"/>
      <c r="I82" s="17">
        <v>1</v>
      </c>
      <c r="J82" s="17">
        <v>0</v>
      </c>
      <c r="K82" s="17"/>
      <c r="L82" s="17"/>
      <c r="M82" s="18" t="s">
        <v>158</v>
      </c>
    </row>
    <row r="83" spans="1:13" s="2" customFormat="1" ht="17.100000000000001" customHeight="1" x14ac:dyDescent="0.2">
      <c r="A83" s="50"/>
      <c r="B83" s="48"/>
      <c r="C83" s="32" t="s">
        <v>159</v>
      </c>
      <c r="D83" s="17">
        <f>MAX($D$6:D82)+1</f>
        <v>86</v>
      </c>
      <c r="E83" s="17">
        <v>8</v>
      </c>
      <c r="F83" s="17">
        <v>0</v>
      </c>
      <c r="G83" s="17">
        <v>7</v>
      </c>
      <c r="H83" s="16" t="s">
        <v>122</v>
      </c>
      <c r="I83" s="17">
        <v>1</v>
      </c>
      <c r="J83" s="17">
        <v>0</v>
      </c>
      <c r="K83" s="17"/>
      <c r="L83" s="17"/>
      <c r="M83" s="18" t="s">
        <v>160</v>
      </c>
    </row>
    <row r="84" spans="1:13" s="2" customFormat="1" ht="17.100000000000001" customHeight="1" x14ac:dyDescent="0.2">
      <c r="A84" s="50"/>
      <c r="B84" s="48"/>
      <c r="C84" s="32" t="s">
        <v>97</v>
      </c>
      <c r="D84" s="17">
        <f>MAX($D$6:D83)+1</f>
        <v>87</v>
      </c>
      <c r="E84" s="17">
        <v>8</v>
      </c>
      <c r="F84" s="17">
        <v>0</v>
      </c>
      <c r="G84" s="17">
        <v>7</v>
      </c>
      <c r="H84" s="16"/>
      <c r="I84" s="17">
        <v>1</v>
      </c>
      <c r="J84" s="17">
        <v>0</v>
      </c>
      <c r="K84" s="17">
        <v>-40</v>
      </c>
      <c r="L84" s="17" t="s">
        <v>86</v>
      </c>
      <c r="M84" s="18" t="s">
        <v>161</v>
      </c>
    </row>
    <row r="85" spans="1:13" s="2" customFormat="1" ht="17.100000000000001" customHeight="1" x14ac:dyDescent="0.2">
      <c r="A85" s="50"/>
      <c r="B85" s="48"/>
      <c r="C85" s="32" t="s">
        <v>97</v>
      </c>
      <c r="D85" s="17">
        <f>MAX($D$6:D84)+1</f>
        <v>88</v>
      </c>
      <c r="E85" s="17">
        <v>8</v>
      </c>
      <c r="F85" s="17">
        <v>0</v>
      </c>
      <c r="G85" s="17">
        <v>7</v>
      </c>
      <c r="H85" s="16"/>
      <c r="I85" s="17">
        <v>1</v>
      </c>
      <c r="J85" s="17">
        <v>0</v>
      </c>
      <c r="K85" s="17"/>
      <c r="L85" s="17"/>
      <c r="M85" s="18" t="s">
        <v>162</v>
      </c>
    </row>
    <row r="86" spans="1:13" s="2" customFormat="1" ht="17.100000000000001" customHeight="1" x14ac:dyDescent="0.2">
      <c r="A86" s="50"/>
      <c r="B86" s="48"/>
      <c r="C86" s="32" t="s">
        <v>97</v>
      </c>
      <c r="D86" s="17">
        <f>MAX($D$6:D85)+1</f>
        <v>89</v>
      </c>
      <c r="E86" s="17">
        <v>8</v>
      </c>
      <c r="F86" s="17">
        <v>0</v>
      </c>
      <c r="G86" s="17">
        <v>7</v>
      </c>
      <c r="H86" s="16" t="s">
        <v>122</v>
      </c>
      <c r="I86" s="17">
        <v>1</v>
      </c>
      <c r="J86" s="17">
        <v>0</v>
      </c>
      <c r="K86" s="17"/>
      <c r="L86" s="17"/>
      <c r="M86" s="18" t="s">
        <v>163</v>
      </c>
    </row>
    <row r="87" spans="1:13" s="2" customFormat="1" ht="17.100000000000001" customHeight="1" x14ac:dyDescent="0.2">
      <c r="A87" s="50"/>
      <c r="B87" s="48"/>
      <c r="C87" s="32" t="s">
        <v>97</v>
      </c>
      <c r="D87" s="17">
        <f>MAX($D$6:D86)+1</f>
        <v>90</v>
      </c>
      <c r="E87" s="17">
        <v>8</v>
      </c>
      <c r="F87" s="17">
        <v>0</v>
      </c>
      <c r="G87" s="17">
        <v>7</v>
      </c>
      <c r="H87" s="16"/>
      <c r="I87" s="17">
        <v>1</v>
      </c>
      <c r="J87" s="17">
        <v>0</v>
      </c>
      <c r="K87" s="17">
        <v>-40</v>
      </c>
      <c r="L87" s="17" t="s">
        <v>86</v>
      </c>
      <c r="M87" s="18" t="s">
        <v>164</v>
      </c>
    </row>
    <row r="88" spans="1:13" s="2" customFormat="1" ht="17.100000000000001" customHeight="1" x14ac:dyDescent="0.2">
      <c r="A88" s="50"/>
      <c r="B88" s="48"/>
      <c r="C88" s="32" t="s">
        <v>97</v>
      </c>
      <c r="D88" s="17">
        <f>MAX($D$6:D87)+1</f>
        <v>91</v>
      </c>
      <c r="E88" s="17">
        <v>8</v>
      </c>
      <c r="F88" s="17">
        <v>0</v>
      </c>
      <c r="G88" s="17">
        <v>7</v>
      </c>
      <c r="H88" s="16"/>
      <c r="I88" s="17">
        <v>1</v>
      </c>
      <c r="J88" s="17">
        <v>0</v>
      </c>
      <c r="K88" s="17"/>
      <c r="L88" s="17"/>
      <c r="M88" s="18" t="s">
        <v>165</v>
      </c>
    </row>
    <row r="89" spans="1:13" s="2" customFormat="1" ht="17.100000000000001" customHeight="1" x14ac:dyDescent="0.2">
      <c r="A89" s="50"/>
      <c r="B89" s="48"/>
      <c r="C89" s="32" t="s">
        <v>97</v>
      </c>
      <c r="D89" s="17">
        <f>MAX($D$6:D88)+1</f>
        <v>92</v>
      </c>
      <c r="E89" s="17">
        <v>8</v>
      </c>
      <c r="F89" s="17">
        <v>0</v>
      </c>
      <c r="G89" s="17">
        <v>7</v>
      </c>
      <c r="H89" s="16" t="s">
        <v>122</v>
      </c>
      <c r="I89" s="17">
        <v>1</v>
      </c>
      <c r="J89" s="17">
        <v>0</v>
      </c>
      <c r="K89" s="17"/>
      <c r="L89" s="17"/>
      <c r="M89" s="18" t="s">
        <v>166</v>
      </c>
    </row>
    <row r="90" spans="1:13" s="2" customFormat="1" ht="17.100000000000001" customHeight="1" x14ac:dyDescent="0.2">
      <c r="A90" s="50"/>
      <c r="B90" s="48"/>
      <c r="C90" s="32" t="s">
        <v>97</v>
      </c>
      <c r="D90" s="17">
        <f>MAX($D$6:D89)+1</f>
        <v>93</v>
      </c>
      <c r="E90" s="17">
        <v>8</v>
      </c>
      <c r="F90" s="17">
        <v>0</v>
      </c>
      <c r="G90" s="17">
        <v>7</v>
      </c>
      <c r="H90" s="16"/>
      <c r="I90" s="17">
        <v>1</v>
      </c>
      <c r="J90" s="17">
        <v>0</v>
      </c>
      <c r="K90" s="17">
        <v>-40</v>
      </c>
      <c r="L90" s="17" t="s">
        <v>86</v>
      </c>
      <c r="M90" s="18" t="s">
        <v>167</v>
      </c>
    </row>
    <row r="91" spans="1:13" s="2" customFormat="1" ht="17.100000000000001" customHeight="1" x14ac:dyDescent="0.2">
      <c r="A91" s="50"/>
      <c r="B91" s="48"/>
      <c r="C91" s="32" t="s">
        <v>97</v>
      </c>
      <c r="D91" s="17">
        <f>MAX($D$6:D90)+1</f>
        <v>94</v>
      </c>
      <c r="E91" s="17">
        <v>8</v>
      </c>
      <c r="F91" s="17">
        <v>0</v>
      </c>
      <c r="G91" s="17">
        <v>7</v>
      </c>
      <c r="H91" s="16"/>
      <c r="I91" s="17">
        <v>1</v>
      </c>
      <c r="J91" s="17">
        <v>0</v>
      </c>
      <c r="K91" s="17"/>
      <c r="L91" s="17"/>
      <c r="M91" s="18" t="s">
        <v>168</v>
      </c>
    </row>
    <row r="92" spans="1:13" s="2" customFormat="1" ht="17.100000000000001" customHeight="1" x14ac:dyDescent="0.2">
      <c r="A92" s="50"/>
      <c r="B92" s="48"/>
      <c r="C92" s="32" t="s">
        <v>97</v>
      </c>
      <c r="D92" s="17">
        <f>MAX($D$6:D91)+1</f>
        <v>95</v>
      </c>
      <c r="E92" s="17">
        <v>8</v>
      </c>
      <c r="F92" s="17">
        <v>0</v>
      </c>
      <c r="G92" s="17">
        <v>7</v>
      </c>
      <c r="H92" s="16" t="s">
        <v>122</v>
      </c>
      <c r="I92" s="17">
        <v>1</v>
      </c>
      <c r="J92" s="17">
        <v>0</v>
      </c>
      <c r="K92" s="17"/>
      <c r="L92" s="17"/>
      <c r="M92" s="18" t="s">
        <v>169</v>
      </c>
    </row>
    <row r="93" spans="1:13" s="2" customFormat="1" ht="17.100000000000001" customHeight="1" x14ac:dyDescent="0.2">
      <c r="A93" s="50"/>
      <c r="B93" s="48"/>
      <c r="C93" s="32" t="s">
        <v>97</v>
      </c>
      <c r="D93" s="17">
        <f>MAX($D$6:D92)+1</f>
        <v>96</v>
      </c>
      <c r="E93" s="17">
        <v>8</v>
      </c>
      <c r="F93" s="17">
        <v>0</v>
      </c>
      <c r="G93" s="17">
        <v>7</v>
      </c>
      <c r="H93" s="16"/>
      <c r="I93" s="17">
        <v>1</v>
      </c>
      <c r="J93" s="17">
        <v>0</v>
      </c>
      <c r="K93" s="17">
        <v>-40</v>
      </c>
      <c r="L93" s="17" t="s">
        <v>86</v>
      </c>
      <c r="M93" s="18" t="s">
        <v>170</v>
      </c>
    </row>
    <row r="94" spans="1:13" s="2" customFormat="1" ht="17.100000000000001" customHeight="1" x14ac:dyDescent="0.2">
      <c r="A94" s="50"/>
      <c r="B94" s="48"/>
      <c r="C94" s="32" t="s">
        <v>97</v>
      </c>
      <c r="D94" s="17">
        <f>MAX($D$6:D93)+1</f>
        <v>97</v>
      </c>
      <c r="E94" s="17">
        <v>8</v>
      </c>
      <c r="F94" s="17">
        <v>0</v>
      </c>
      <c r="G94" s="17">
        <v>7</v>
      </c>
      <c r="H94" s="16"/>
      <c r="I94" s="17">
        <v>1</v>
      </c>
      <c r="J94" s="17">
        <v>0</v>
      </c>
      <c r="K94" s="17"/>
      <c r="L94" s="17"/>
      <c r="M94" s="18" t="s">
        <v>171</v>
      </c>
    </row>
    <row r="95" spans="1:13" s="2" customFormat="1" ht="17.100000000000001" customHeight="1" x14ac:dyDescent="0.2">
      <c r="A95" s="50"/>
      <c r="B95" s="48"/>
      <c r="C95" s="32" t="s">
        <v>97</v>
      </c>
      <c r="D95" s="17">
        <f>MAX($D$6:D94)+1</f>
        <v>98</v>
      </c>
      <c r="E95" s="17">
        <v>8</v>
      </c>
      <c r="F95" s="17">
        <v>0</v>
      </c>
      <c r="G95" s="17">
        <v>7</v>
      </c>
      <c r="H95" s="16" t="s">
        <v>122</v>
      </c>
      <c r="I95" s="17">
        <v>1</v>
      </c>
      <c r="J95" s="17">
        <v>0</v>
      </c>
      <c r="K95" s="17"/>
      <c r="L95" s="17"/>
      <c r="M95" s="18" t="s">
        <v>172</v>
      </c>
    </row>
    <row r="96" spans="1:13" s="2" customFormat="1" ht="17.100000000000001" customHeight="1" x14ac:dyDescent="0.2">
      <c r="A96" s="50"/>
      <c r="B96" s="48"/>
      <c r="C96" s="32" t="s">
        <v>173</v>
      </c>
      <c r="D96" s="17">
        <f>MAX($D$6:D95)+1</f>
        <v>99</v>
      </c>
      <c r="E96" s="17">
        <v>8</v>
      </c>
      <c r="F96" s="17">
        <v>0</v>
      </c>
      <c r="G96" s="17">
        <v>7</v>
      </c>
      <c r="H96" s="16"/>
      <c r="I96" s="17">
        <v>1</v>
      </c>
      <c r="J96" s="17">
        <v>0</v>
      </c>
      <c r="K96" s="17">
        <v>-40</v>
      </c>
      <c r="L96" s="17" t="s">
        <v>86</v>
      </c>
      <c r="M96" s="18" t="s">
        <v>174</v>
      </c>
    </row>
    <row r="97" spans="1:13" s="2" customFormat="1" ht="17.100000000000001" customHeight="1" x14ac:dyDescent="0.2">
      <c r="A97" s="50"/>
      <c r="B97" s="48"/>
      <c r="C97" s="32" t="s">
        <v>175</v>
      </c>
      <c r="D97" s="17">
        <f>MAX($D$6:D96)+1</f>
        <v>100</v>
      </c>
      <c r="E97" s="17">
        <v>8</v>
      </c>
      <c r="F97" s="17">
        <v>0</v>
      </c>
      <c r="G97" s="17">
        <v>7</v>
      </c>
      <c r="H97" s="16"/>
      <c r="I97" s="17">
        <v>1</v>
      </c>
      <c r="J97" s="17">
        <v>0</v>
      </c>
      <c r="K97" s="17"/>
      <c r="L97" s="17"/>
      <c r="M97" s="18" t="s">
        <v>176</v>
      </c>
    </row>
    <row r="98" spans="1:13" s="2" customFormat="1" ht="17.100000000000001" customHeight="1" x14ac:dyDescent="0.2">
      <c r="A98" s="50"/>
      <c r="B98" s="48"/>
      <c r="C98" s="32" t="s">
        <v>177</v>
      </c>
      <c r="D98" s="17">
        <f>MAX($D$6:D97)+1</f>
        <v>101</v>
      </c>
      <c r="E98" s="17">
        <v>8</v>
      </c>
      <c r="F98" s="17">
        <v>0</v>
      </c>
      <c r="G98" s="17">
        <v>7</v>
      </c>
      <c r="H98" s="16" t="s">
        <v>122</v>
      </c>
      <c r="I98" s="17">
        <v>1</v>
      </c>
      <c r="J98" s="17">
        <v>0</v>
      </c>
      <c r="K98" s="17"/>
      <c r="L98" s="17"/>
      <c r="M98" s="18" t="s">
        <v>178</v>
      </c>
    </row>
    <row r="99" spans="1:13" s="2" customFormat="1" ht="17.100000000000001" customHeight="1" x14ac:dyDescent="0.2">
      <c r="A99" s="50"/>
      <c r="B99" s="48"/>
      <c r="C99" s="32" t="s">
        <v>97</v>
      </c>
      <c r="D99" s="17">
        <f>MAX($D$6:D98)+1</f>
        <v>102</v>
      </c>
      <c r="E99" s="17">
        <v>8</v>
      </c>
      <c r="F99" s="17">
        <v>0</v>
      </c>
      <c r="G99" s="17">
        <v>7</v>
      </c>
      <c r="H99" s="16"/>
      <c r="I99" s="17">
        <v>1</v>
      </c>
      <c r="J99" s="17">
        <v>0</v>
      </c>
      <c r="K99" s="17">
        <v>-40</v>
      </c>
      <c r="L99" s="17" t="s">
        <v>86</v>
      </c>
      <c r="M99" s="18" t="s">
        <v>179</v>
      </c>
    </row>
    <row r="100" spans="1:13" s="2" customFormat="1" ht="17.100000000000001" customHeight="1" x14ac:dyDescent="0.2">
      <c r="A100" s="50"/>
      <c r="B100" s="48"/>
      <c r="C100" s="32" t="s">
        <v>97</v>
      </c>
      <c r="D100" s="17">
        <f>MAX($D$6:D99)+1</f>
        <v>103</v>
      </c>
      <c r="E100" s="17">
        <v>8</v>
      </c>
      <c r="F100" s="17">
        <v>0</v>
      </c>
      <c r="G100" s="17">
        <v>7</v>
      </c>
      <c r="H100" s="16"/>
      <c r="I100" s="17">
        <v>1</v>
      </c>
      <c r="J100" s="17">
        <v>0</v>
      </c>
      <c r="K100" s="17"/>
      <c r="L100" s="17"/>
      <c r="M100" s="18" t="s">
        <v>180</v>
      </c>
    </row>
    <row r="101" spans="1:13" s="2" customFormat="1" ht="17.100000000000001" customHeight="1" x14ac:dyDescent="0.2">
      <c r="A101" s="50"/>
      <c r="B101" s="48"/>
      <c r="C101" s="32" t="s">
        <v>97</v>
      </c>
      <c r="D101" s="17">
        <f>MAX($D$6:D100)+1</f>
        <v>104</v>
      </c>
      <c r="E101" s="17">
        <v>8</v>
      </c>
      <c r="F101" s="17">
        <v>0</v>
      </c>
      <c r="G101" s="17">
        <v>7</v>
      </c>
      <c r="H101" s="16" t="s">
        <v>122</v>
      </c>
      <c r="I101" s="17">
        <v>1</v>
      </c>
      <c r="J101" s="17">
        <v>0</v>
      </c>
      <c r="K101" s="17"/>
      <c r="L101" s="17"/>
      <c r="M101" s="18" t="s">
        <v>181</v>
      </c>
    </row>
    <row r="102" spans="1:13" s="2" customFormat="1" ht="17.100000000000001" customHeight="1" x14ac:dyDescent="0.2">
      <c r="A102" s="50"/>
      <c r="B102" s="48"/>
      <c r="C102" s="32" t="s">
        <v>97</v>
      </c>
      <c r="D102" s="17">
        <f>MAX($D$6:D101)+1</f>
        <v>105</v>
      </c>
      <c r="E102" s="17">
        <v>8</v>
      </c>
      <c r="F102" s="17">
        <v>0</v>
      </c>
      <c r="G102" s="17">
        <v>7</v>
      </c>
      <c r="H102" s="16"/>
      <c r="I102" s="17">
        <v>1</v>
      </c>
      <c r="J102" s="17">
        <v>0</v>
      </c>
      <c r="K102" s="17">
        <v>-40</v>
      </c>
      <c r="L102" s="17" t="s">
        <v>86</v>
      </c>
      <c r="M102" s="18" t="s">
        <v>182</v>
      </c>
    </row>
    <row r="103" spans="1:13" s="2" customFormat="1" ht="17.100000000000001" customHeight="1" x14ac:dyDescent="0.2">
      <c r="A103" s="50"/>
      <c r="B103" s="48"/>
      <c r="C103" s="32" t="s">
        <v>97</v>
      </c>
      <c r="D103" s="17">
        <f>MAX($D$6:D102)+1</f>
        <v>106</v>
      </c>
      <c r="E103" s="17">
        <v>8</v>
      </c>
      <c r="F103" s="17">
        <v>0</v>
      </c>
      <c r="G103" s="17">
        <v>7</v>
      </c>
      <c r="H103" s="16"/>
      <c r="I103" s="17">
        <v>1</v>
      </c>
      <c r="J103" s="17">
        <v>0</v>
      </c>
      <c r="K103" s="17"/>
      <c r="L103" s="17"/>
      <c r="M103" s="18" t="s">
        <v>183</v>
      </c>
    </row>
    <row r="104" spans="1:13" s="2" customFormat="1" ht="17.100000000000001" customHeight="1" x14ac:dyDescent="0.2">
      <c r="A104" s="50"/>
      <c r="B104" s="48"/>
      <c r="C104" s="32" t="s">
        <v>97</v>
      </c>
      <c r="D104" s="17">
        <f>MAX($D$6:D103)+1</f>
        <v>107</v>
      </c>
      <c r="E104" s="17">
        <v>8</v>
      </c>
      <c r="F104" s="17">
        <v>0</v>
      </c>
      <c r="G104" s="17">
        <v>7</v>
      </c>
      <c r="H104" s="16" t="s">
        <v>122</v>
      </c>
      <c r="I104" s="17">
        <v>1</v>
      </c>
      <c r="J104" s="17">
        <v>0</v>
      </c>
      <c r="K104" s="17"/>
      <c r="L104" s="17"/>
      <c r="M104" s="18" t="s">
        <v>184</v>
      </c>
    </row>
    <row r="105" spans="1:13" s="2" customFormat="1" ht="17.100000000000001" customHeight="1" x14ac:dyDescent="0.2">
      <c r="A105" s="50"/>
      <c r="B105" s="48"/>
      <c r="C105" s="32" t="s">
        <v>97</v>
      </c>
      <c r="D105" s="17">
        <f>MAX($D$6:D104)+1</f>
        <v>108</v>
      </c>
      <c r="E105" s="17">
        <v>8</v>
      </c>
      <c r="F105" s="17">
        <v>0</v>
      </c>
      <c r="G105" s="17">
        <v>7</v>
      </c>
      <c r="H105" s="16"/>
      <c r="I105" s="17">
        <v>1</v>
      </c>
      <c r="J105" s="17">
        <v>0</v>
      </c>
      <c r="K105" s="17">
        <v>-40</v>
      </c>
      <c r="L105" s="17" t="s">
        <v>86</v>
      </c>
      <c r="M105" s="18" t="s">
        <v>185</v>
      </c>
    </row>
    <row r="106" spans="1:13" s="2" customFormat="1" ht="17.100000000000001" customHeight="1" x14ac:dyDescent="0.2">
      <c r="A106" s="50"/>
      <c r="B106" s="48"/>
      <c r="C106" s="32" t="s">
        <v>97</v>
      </c>
      <c r="D106" s="17">
        <f>MAX($D$6:D105)+1</f>
        <v>109</v>
      </c>
      <c r="E106" s="17">
        <v>8</v>
      </c>
      <c r="F106" s="17">
        <v>0</v>
      </c>
      <c r="G106" s="17">
        <v>7</v>
      </c>
      <c r="H106" s="16"/>
      <c r="I106" s="17">
        <v>1</v>
      </c>
      <c r="J106" s="17">
        <v>0</v>
      </c>
      <c r="K106" s="17"/>
      <c r="L106" s="17"/>
      <c r="M106" s="18" t="s">
        <v>186</v>
      </c>
    </row>
    <row r="107" spans="1:13" s="2" customFormat="1" ht="17.100000000000001" customHeight="1" x14ac:dyDescent="0.2">
      <c r="A107" s="50"/>
      <c r="B107" s="48"/>
      <c r="C107" s="32" t="s">
        <v>97</v>
      </c>
      <c r="D107" s="17">
        <f>MAX($D$6:D106)+1</f>
        <v>110</v>
      </c>
      <c r="E107" s="17">
        <v>8</v>
      </c>
      <c r="F107" s="17">
        <v>0</v>
      </c>
      <c r="G107" s="17">
        <v>7</v>
      </c>
      <c r="H107" s="16" t="s">
        <v>122</v>
      </c>
      <c r="I107" s="17">
        <v>1</v>
      </c>
      <c r="J107" s="17">
        <v>0</v>
      </c>
      <c r="K107" s="17"/>
      <c r="L107" s="17"/>
      <c r="M107" s="18" t="s">
        <v>187</v>
      </c>
    </row>
    <row r="108" spans="1:13" s="2" customFormat="1" ht="17.100000000000001" customHeight="1" x14ac:dyDescent="0.2">
      <c r="A108" s="50"/>
      <c r="B108" s="48"/>
      <c r="C108" s="32" t="s">
        <v>97</v>
      </c>
      <c r="D108" s="17">
        <f>MAX($D$6:D107)+1</f>
        <v>111</v>
      </c>
      <c r="E108" s="17">
        <v>8</v>
      </c>
      <c r="F108" s="17">
        <v>0</v>
      </c>
      <c r="G108" s="17">
        <v>7</v>
      </c>
      <c r="H108" s="16"/>
      <c r="I108" s="17">
        <v>1</v>
      </c>
      <c r="J108" s="17">
        <v>0</v>
      </c>
      <c r="K108" s="17">
        <v>-40</v>
      </c>
      <c r="L108" s="17" t="s">
        <v>86</v>
      </c>
      <c r="M108" s="18" t="s">
        <v>188</v>
      </c>
    </row>
    <row r="109" spans="1:13" s="2" customFormat="1" ht="17.100000000000001" customHeight="1" x14ac:dyDescent="0.2">
      <c r="A109" s="50"/>
      <c r="B109" s="48"/>
      <c r="C109" s="32" t="s">
        <v>97</v>
      </c>
      <c r="D109" s="17">
        <f>MAX($D$6:D108)+1</f>
        <v>112</v>
      </c>
      <c r="E109" s="17">
        <v>8</v>
      </c>
      <c r="F109" s="17">
        <v>0</v>
      </c>
      <c r="G109" s="17">
        <v>7</v>
      </c>
      <c r="H109" s="16"/>
      <c r="I109" s="17">
        <v>1</v>
      </c>
      <c r="J109" s="17">
        <v>0</v>
      </c>
      <c r="K109" s="17"/>
      <c r="L109" s="17"/>
      <c r="M109" s="18" t="s">
        <v>189</v>
      </c>
    </row>
    <row r="110" spans="1:13" s="2" customFormat="1" ht="17.100000000000001" customHeight="1" x14ac:dyDescent="0.2">
      <c r="A110" s="50"/>
      <c r="B110" s="48"/>
      <c r="C110" s="32" t="s">
        <v>97</v>
      </c>
      <c r="D110" s="17">
        <f>MAX($D$6:D109)+1</f>
        <v>113</v>
      </c>
      <c r="E110" s="17">
        <v>8</v>
      </c>
      <c r="F110" s="17">
        <v>0</v>
      </c>
      <c r="G110" s="17">
        <v>7</v>
      </c>
      <c r="H110" s="16" t="s">
        <v>122</v>
      </c>
      <c r="I110" s="17">
        <v>1</v>
      </c>
      <c r="J110" s="17">
        <v>0</v>
      </c>
      <c r="K110" s="17"/>
      <c r="L110" s="17"/>
      <c r="M110" s="18" t="s">
        <v>190</v>
      </c>
    </row>
    <row r="111" spans="1:13" s="2" customFormat="1" ht="17.100000000000001" customHeight="1" x14ac:dyDescent="0.2">
      <c r="A111" s="46"/>
      <c r="B111" s="48"/>
      <c r="C111" s="32" t="s">
        <v>191</v>
      </c>
      <c r="D111" s="51">
        <f>MAX($D$6:D110)+1</f>
        <v>114</v>
      </c>
      <c r="E111" s="17">
        <v>2</v>
      </c>
      <c r="F111" s="17">
        <v>0</v>
      </c>
      <c r="G111" s="17">
        <v>1</v>
      </c>
      <c r="H111" s="16" t="s">
        <v>192</v>
      </c>
      <c r="I111" s="17">
        <v>1</v>
      </c>
      <c r="J111" s="17">
        <v>0</v>
      </c>
      <c r="K111" s="17"/>
      <c r="L111" s="17"/>
      <c r="M111" s="54" t="s">
        <v>193</v>
      </c>
    </row>
    <row r="112" spans="1:13" s="2" customFormat="1" ht="17.100000000000001" customHeight="1" x14ac:dyDescent="0.2">
      <c r="A112" s="46"/>
      <c r="B112" s="48"/>
      <c r="C112" s="32" t="s">
        <v>97</v>
      </c>
      <c r="D112" s="52"/>
      <c r="E112" s="17">
        <v>2</v>
      </c>
      <c r="F112" s="17">
        <v>2</v>
      </c>
      <c r="G112" s="17">
        <v>3</v>
      </c>
      <c r="H112" s="16" t="s">
        <v>192</v>
      </c>
      <c r="I112" s="17">
        <v>1</v>
      </c>
      <c r="J112" s="17">
        <v>0</v>
      </c>
      <c r="K112" s="17"/>
      <c r="L112" s="17"/>
      <c r="M112" s="55"/>
    </row>
    <row r="113" spans="1:13" s="2" customFormat="1" ht="17.100000000000001" customHeight="1" x14ac:dyDescent="0.2">
      <c r="A113" s="46"/>
      <c r="B113" s="48"/>
      <c r="C113" s="32" t="s">
        <v>97</v>
      </c>
      <c r="D113" s="52"/>
      <c r="E113" s="17">
        <v>2</v>
      </c>
      <c r="F113" s="17">
        <v>4</v>
      </c>
      <c r="G113" s="17">
        <v>5</v>
      </c>
      <c r="H113" s="16" t="s">
        <v>192</v>
      </c>
      <c r="I113" s="17">
        <v>1</v>
      </c>
      <c r="J113" s="17">
        <v>0</v>
      </c>
      <c r="K113" s="17"/>
      <c r="L113" s="17"/>
      <c r="M113" s="55"/>
    </row>
    <row r="114" spans="1:13" s="2" customFormat="1" ht="17.100000000000001" customHeight="1" x14ac:dyDescent="0.2">
      <c r="A114" s="46"/>
      <c r="B114" s="48"/>
      <c r="C114" s="32" t="s">
        <v>97</v>
      </c>
      <c r="D114" s="52"/>
      <c r="E114" s="17">
        <v>2</v>
      </c>
      <c r="F114" s="17">
        <v>6</v>
      </c>
      <c r="G114" s="17">
        <v>7</v>
      </c>
      <c r="H114" s="16" t="s">
        <v>192</v>
      </c>
      <c r="I114" s="17">
        <v>1</v>
      </c>
      <c r="J114" s="17">
        <v>0</v>
      </c>
      <c r="K114" s="17"/>
      <c r="L114" s="17"/>
      <c r="M114" s="56"/>
    </row>
    <row r="115" spans="1:13" s="2" customFormat="1" ht="17.100000000000001" customHeight="1" x14ac:dyDescent="0.2">
      <c r="A115" s="46"/>
      <c r="B115" s="48"/>
      <c r="C115" s="32" t="s">
        <v>194</v>
      </c>
      <c r="D115" s="51">
        <f>MAX($D$6:D114)+1</f>
        <v>115</v>
      </c>
      <c r="E115" s="17">
        <v>2</v>
      </c>
      <c r="F115" s="17">
        <v>0</v>
      </c>
      <c r="G115" s="17">
        <v>1</v>
      </c>
      <c r="H115" s="16" t="s">
        <v>195</v>
      </c>
      <c r="I115" s="17">
        <v>1</v>
      </c>
      <c r="J115" s="17">
        <v>0</v>
      </c>
      <c r="K115" s="17"/>
      <c r="L115" s="17"/>
      <c r="M115" s="54" t="s">
        <v>196</v>
      </c>
    </row>
    <row r="116" spans="1:13" s="2" customFormat="1" ht="17.100000000000001" customHeight="1" x14ac:dyDescent="0.2">
      <c r="A116" s="46"/>
      <c r="B116" s="48"/>
      <c r="C116" s="32" t="s">
        <v>197</v>
      </c>
      <c r="D116" s="52"/>
      <c r="E116" s="17">
        <v>1</v>
      </c>
      <c r="F116" s="17">
        <v>2</v>
      </c>
      <c r="G116" s="17">
        <v>2</v>
      </c>
      <c r="H116" s="16" t="s">
        <v>198</v>
      </c>
      <c r="I116" s="17">
        <v>1</v>
      </c>
      <c r="J116" s="17">
        <v>0</v>
      </c>
      <c r="K116" s="17"/>
      <c r="L116" s="17"/>
      <c r="M116" s="55"/>
    </row>
    <row r="117" spans="1:13" s="2" customFormat="1" ht="17.100000000000001" customHeight="1" x14ac:dyDescent="0.2">
      <c r="A117" s="46"/>
      <c r="B117" s="48"/>
      <c r="C117" s="32" t="s">
        <v>199</v>
      </c>
      <c r="D117" s="52"/>
      <c r="E117" s="17">
        <v>1</v>
      </c>
      <c r="F117" s="17">
        <v>3</v>
      </c>
      <c r="G117" s="17">
        <v>3</v>
      </c>
      <c r="H117" s="16" t="s">
        <v>198</v>
      </c>
      <c r="I117" s="17">
        <v>1</v>
      </c>
      <c r="J117" s="17">
        <v>0</v>
      </c>
      <c r="K117" s="17"/>
      <c r="L117" s="17"/>
      <c r="M117" s="55"/>
    </row>
    <row r="118" spans="1:13" s="37" customFormat="1" ht="17.100000000000001" customHeight="1" x14ac:dyDescent="0.2">
      <c r="A118" s="46"/>
      <c r="B118" s="48"/>
      <c r="C118" s="31" t="s">
        <v>239</v>
      </c>
      <c r="D118" s="52"/>
      <c r="E118" s="36">
        <v>2</v>
      </c>
      <c r="F118" s="36">
        <v>4</v>
      </c>
      <c r="G118" s="36">
        <v>5</v>
      </c>
      <c r="H118" s="31" t="s">
        <v>192</v>
      </c>
      <c r="I118" s="36">
        <v>1</v>
      </c>
      <c r="J118" s="36">
        <v>0</v>
      </c>
      <c r="K118" s="36"/>
      <c r="L118" s="36"/>
      <c r="M118" s="55"/>
    </row>
    <row r="119" spans="1:13" s="37" customFormat="1" ht="17.100000000000001" customHeight="1" x14ac:dyDescent="0.2">
      <c r="A119" s="46"/>
      <c r="B119" s="48"/>
      <c r="C119" s="31" t="s">
        <v>256</v>
      </c>
      <c r="D119" s="52"/>
      <c r="E119" s="36">
        <v>2</v>
      </c>
      <c r="F119" s="36">
        <v>6</v>
      </c>
      <c r="G119" s="36">
        <v>7</v>
      </c>
      <c r="H119" s="31" t="s">
        <v>192</v>
      </c>
      <c r="I119" s="36">
        <v>1</v>
      </c>
      <c r="J119" s="36">
        <v>0</v>
      </c>
      <c r="K119" s="36"/>
      <c r="L119" s="36"/>
      <c r="M119" s="55"/>
    </row>
    <row r="120" spans="1:13" s="37" customFormat="1" ht="17.100000000000001" customHeight="1" x14ac:dyDescent="0.2">
      <c r="A120" s="46"/>
      <c r="B120" s="48"/>
      <c r="C120" s="31" t="s">
        <v>257</v>
      </c>
      <c r="D120" s="52"/>
      <c r="E120" s="36">
        <v>2</v>
      </c>
      <c r="F120" s="36">
        <v>8</v>
      </c>
      <c r="G120" s="36">
        <v>9</v>
      </c>
      <c r="H120" s="31" t="s">
        <v>192</v>
      </c>
      <c r="I120" s="36">
        <v>1</v>
      </c>
      <c r="J120" s="36">
        <v>0</v>
      </c>
      <c r="K120" s="36"/>
      <c r="L120" s="36"/>
      <c r="M120" s="55"/>
    </row>
    <row r="121" spans="1:13" s="2" customFormat="1" ht="17.100000000000001" customHeight="1" x14ac:dyDescent="0.2">
      <c r="A121" s="46"/>
      <c r="B121" s="48"/>
      <c r="C121" s="32" t="s">
        <v>200</v>
      </c>
      <c r="D121" s="53"/>
      <c r="E121" s="17">
        <v>1</v>
      </c>
      <c r="F121" s="36">
        <v>10</v>
      </c>
      <c r="G121" s="36">
        <v>10</v>
      </c>
      <c r="H121" s="16" t="s">
        <v>198</v>
      </c>
      <c r="I121" s="17">
        <v>1</v>
      </c>
      <c r="J121" s="17">
        <v>0</v>
      </c>
      <c r="K121" s="17"/>
      <c r="L121" s="17"/>
      <c r="M121" s="55"/>
    </row>
    <row r="122" spans="1:13" s="2" customFormat="1" ht="17.100000000000001" customHeight="1" x14ac:dyDescent="0.2">
      <c r="A122" s="46"/>
      <c r="B122" s="48"/>
      <c r="C122" s="32" t="s">
        <v>201</v>
      </c>
      <c r="D122" s="51">
        <f>MAX($D$6:D121)+1</f>
        <v>116</v>
      </c>
      <c r="E122" s="17">
        <v>1</v>
      </c>
      <c r="F122" s="17">
        <v>0</v>
      </c>
      <c r="G122" s="17">
        <v>0</v>
      </c>
      <c r="H122" s="16" t="s">
        <v>198</v>
      </c>
      <c r="I122" s="17">
        <v>1</v>
      </c>
      <c r="J122" s="17">
        <v>0</v>
      </c>
      <c r="K122" s="17"/>
      <c r="L122" s="17"/>
      <c r="M122" s="54" t="s">
        <v>202</v>
      </c>
    </row>
    <row r="123" spans="1:13" s="2" customFormat="1" ht="17.100000000000001" customHeight="1" x14ac:dyDescent="0.2">
      <c r="A123" s="46"/>
      <c r="B123" s="48"/>
      <c r="C123" s="32" t="s">
        <v>203</v>
      </c>
      <c r="D123" s="52"/>
      <c r="E123" s="17">
        <v>1</v>
      </c>
      <c r="F123" s="17">
        <v>1</v>
      </c>
      <c r="G123" s="17">
        <v>1</v>
      </c>
      <c r="H123" s="16" t="s">
        <v>198</v>
      </c>
      <c r="I123" s="17">
        <v>1</v>
      </c>
      <c r="J123" s="17">
        <v>0</v>
      </c>
      <c r="K123" s="17"/>
      <c r="L123" s="17"/>
      <c r="M123" s="55"/>
    </row>
    <row r="124" spans="1:13" s="2" customFormat="1" ht="17.100000000000001" customHeight="1" x14ac:dyDescent="0.2">
      <c r="A124" s="46"/>
      <c r="B124" s="48"/>
      <c r="C124" s="32" t="s">
        <v>204</v>
      </c>
      <c r="D124" s="52"/>
      <c r="E124" s="17">
        <v>1</v>
      </c>
      <c r="F124" s="17">
        <v>2</v>
      </c>
      <c r="G124" s="17">
        <v>2</v>
      </c>
      <c r="H124" s="16" t="s">
        <v>198</v>
      </c>
      <c r="I124" s="17">
        <v>1</v>
      </c>
      <c r="J124" s="17">
        <v>0</v>
      </c>
      <c r="K124" s="17"/>
      <c r="L124" s="17"/>
      <c r="M124" s="55"/>
    </row>
    <row r="125" spans="1:13" s="2" customFormat="1" ht="17.100000000000001" customHeight="1" x14ac:dyDescent="0.2">
      <c r="A125" s="46"/>
      <c r="B125" s="48"/>
      <c r="C125" s="32" t="s">
        <v>205</v>
      </c>
      <c r="D125" s="52"/>
      <c r="E125" s="17">
        <v>1</v>
      </c>
      <c r="F125" s="17">
        <v>3</v>
      </c>
      <c r="G125" s="17">
        <v>3</v>
      </c>
      <c r="H125" s="16" t="s">
        <v>198</v>
      </c>
      <c r="I125" s="17">
        <v>1</v>
      </c>
      <c r="J125" s="17">
        <v>0</v>
      </c>
      <c r="K125" s="17"/>
      <c r="L125" s="17"/>
      <c r="M125" s="55"/>
    </row>
    <row r="126" spans="1:13" s="2" customFormat="1" ht="17.100000000000001" customHeight="1" x14ac:dyDescent="0.2">
      <c r="A126" s="46"/>
      <c r="B126" s="48"/>
      <c r="C126" s="32" t="s">
        <v>206</v>
      </c>
      <c r="D126" s="52"/>
      <c r="E126" s="17">
        <v>1</v>
      </c>
      <c r="F126" s="17">
        <v>4</v>
      </c>
      <c r="G126" s="17">
        <v>4</v>
      </c>
      <c r="H126" s="16" t="s">
        <v>198</v>
      </c>
      <c r="I126" s="17">
        <v>1</v>
      </c>
      <c r="J126" s="17">
        <v>0</v>
      </c>
      <c r="K126" s="17"/>
      <c r="L126" s="17"/>
      <c r="M126" s="55"/>
    </row>
    <row r="127" spans="1:13" s="3" customFormat="1" ht="17.100000000000001" customHeight="1" x14ac:dyDescent="0.2">
      <c r="A127" s="46"/>
      <c r="B127" s="48"/>
      <c r="C127" s="32" t="s">
        <v>241</v>
      </c>
      <c r="D127" s="19"/>
      <c r="E127" s="17">
        <v>1</v>
      </c>
      <c r="F127" s="17">
        <v>5</v>
      </c>
      <c r="G127" s="17">
        <v>5</v>
      </c>
      <c r="H127" s="16" t="s">
        <v>198</v>
      </c>
      <c r="I127" s="17">
        <v>1</v>
      </c>
      <c r="J127" s="17">
        <v>0</v>
      </c>
      <c r="K127" s="17"/>
      <c r="L127" s="17"/>
      <c r="M127" s="22"/>
    </row>
    <row r="128" spans="1:13" s="3" customFormat="1" ht="17.100000000000001" customHeight="1" x14ac:dyDescent="0.2">
      <c r="A128" s="46"/>
      <c r="B128" s="48"/>
      <c r="C128" s="34" t="s">
        <v>207</v>
      </c>
      <c r="D128" s="51">
        <f>MAX($D$6:D126)+1</f>
        <v>117</v>
      </c>
      <c r="E128" s="17">
        <v>2</v>
      </c>
      <c r="F128" s="17">
        <v>0</v>
      </c>
      <c r="G128" s="17">
        <v>1</v>
      </c>
      <c r="H128" s="16" t="s">
        <v>192</v>
      </c>
      <c r="I128" s="17">
        <v>1</v>
      </c>
      <c r="J128" s="17">
        <v>0</v>
      </c>
      <c r="K128" s="17"/>
      <c r="L128" s="17"/>
      <c r="M128" s="54" t="s">
        <v>208</v>
      </c>
    </row>
    <row r="129" spans="1:13" s="3" customFormat="1" ht="17.100000000000001" customHeight="1" x14ac:dyDescent="0.2">
      <c r="A129" s="46"/>
      <c r="B129" s="48"/>
      <c r="C129" s="32" t="s">
        <v>97</v>
      </c>
      <c r="D129" s="52"/>
      <c r="E129" s="17">
        <v>2</v>
      </c>
      <c r="F129" s="17">
        <v>2</v>
      </c>
      <c r="G129" s="17">
        <v>3</v>
      </c>
      <c r="H129" s="16" t="s">
        <v>192</v>
      </c>
      <c r="I129" s="17">
        <v>1</v>
      </c>
      <c r="J129" s="17">
        <v>0</v>
      </c>
      <c r="K129" s="17"/>
      <c r="L129" s="17"/>
      <c r="M129" s="55"/>
    </row>
    <row r="130" spans="1:13" s="3" customFormat="1" ht="17.100000000000001" customHeight="1" x14ac:dyDescent="0.2">
      <c r="A130" s="46"/>
      <c r="B130" s="48"/>
      <c r="C130" s="32" t="s">
        <v>97</v>
      </c>
      <c r="D130" s="52"/>
      <c r="E130" s="25">
        <v>2</v>
      </c>
      <c r="F130" s="17">
        <v>4</v>
      </c>
      <c r="G130" s="17">
        <v>5</v>
      </c>
      <c r="H130" s="16" t="s">
        <v>192</v>
      </c>
      <c r="I130" s="17">
        <v>1</v>
      </c>
      <c r="J130" s="17">
        <v>0</v>
      </c>
      <c r="K130" s="17"/>
      <c r="L130" s="17"/>
      <c r="M130" s="55"/>
    </row>
    <row r="131" spans="1:13" s="3" customFormat="1" ht="17.100000000000001" customHeight="1" x14ac:dyDescent="0.2">
      <c r="A131" s="46"/>
      <c r="B131" s="48"/>
      <c r="C131" s="32" t="s">
        <v>97</v>
      </c>
      <c r="D131" s="52"/>
      <c r="E131" s="25">
        <v>2</v>
      </c>
      <c r="F131" s="17">
        <v>6</v>
      </c>
      <c r="G131" s="17">
        <v>7</v>
      </c>
      <c r="H131" s="16" t="s">
        <v>192</v>
      </c>
      <c r="I131" s="17">
        <v>1</v>
      </c>
      <c r="J131" s="17">
        <v>0</v>
      </c>
      <c r="K131" s="17"/>
      <c r="L131" s="17"/>
      <c r="M131" s="56"/>
    </row>
    <row r="132" spans="1:13" s="3" customFormat="1" ht="17.100000000000001" customHeight="1" x14ac:dyDescent="0.2">
      <c r="A132" s="46"/>
      <c r="B132" s="48"/>
      <c r="C132" s="34" t="s">
        <v>209</v>
      </c>
      <c r="D132" s="51">
        <f>MAX($D$6:D131)+1</f>
        <v>118</v>
      </c>
      <c r="E132" s="17">
        <v>2</v>
      </c>
      <c r="F132" s="17">
        <v>0</v>
      </c>
      <c r="G132" s="17">
        <v>1</v>
      </c>
      <c r="H132" s="16" t="s">
        <v>192</v>
      </c>
      <c r="I132" s="17">
        <v>1</v>
      </c>
      <c r="J132" s="17">
        <v>0</v>
      </c>
      <c r="K132" s="17"/>
      <c r="L132" s="17"/>
      <c r="M132" s="54" t="s">
        <v>210</v>
      </c>
    </row>
    <row r="133" spans="1:13" s="3" customFormat="1" ht="17.100000000000001" customHeight="1" x14ac:dyDescent="0.2">
      <c r="A133" s="46"/>
      <c r="B133" s="48"/>
      <c r="C133" s="32" t="s">
        <v>97</v>
      </c>
      <c r="D133" s="52"/>
      <c r="E133" s="17">
        <v>2</v>
      </c>
      <c r="F133" s="17">
        <v>2</v>
      </c>
      <c r="G133" s="17">
        <v>3</v>
      </c>
      <c r="H133" s="16" t="s">
        <v>192</v>
      </c>
      <c r="I133" s="17">
        <v>1</v>
      </c>
      <c r="J133" s="17">
        <v>0</v>
      </c>
      <c r="K133" s="17"/>
      <c r="L133" s="17"/>
      <c r="M133" s="55"/>
    </row>
    <row r="134" spans="1:13" s="3" customFormat="1" ht="17.100000000000001" customHeight="1" x14ac:dyDescent="0.2">
      <c r="A134" s="46"/>
      <c r="B134" s="48"/>
      <c r="C134" s="32" t="s">
        <v>97</v>
      </c>
      <c r="D134" s="52"/>
      <c r="E134" s="25">
        <v>2</v>
      </c>
      <c r="F134" s="17">
        <v>4</v>
      </c>
      <c r="G134" s="17">
        <v>5</v>
      </c>
      <c r="H134" s="16" t="s">
        <v>192</v>
      </c>
      <c r="I134" s="17">
        <v>1</v>
      </c>
      <c r="J134" s="17">
        <v>0</v>
      </c>
      <c r="K134" s="17"/>
      <c r="L134" s="17"/>
      <c r="M134" s="55"/>
    </row>
    <row r="135" spans="1:13" s="3" customFormat="1" ht="17.100000000000001" customHeight="1" x14ac:dyDescent="0.2">
      <c r="A135" s="46"/>
      <c r="B135" s="48"/>
      <c r="C135" s="32" t="s">
        <v>97</v>
      </c>
      <c r="D135" s="52"/>
      <c r="E135" s="25">
        <v>2</v>
      </c>
      <c r="F135" s="17">
        <v>6</v>
      </c>
      <c r="G135" s="17">
        <v>7</v>
      </c>
      <c r="H135" s="16" t="s">
        <v>192</v>
      </c>
      <c r="I135" s="17">
        <v>1</v>
      </c>
      <c r="J135" s="17">
        <v>0</v>
      </c>
      <c r="K135" s="17"/>
      <c r="L135" s="17"/>
      <c r="M135" s="56"/>
    </row>
    <row r="136" spans="1:13" s="2" customFormat="1" ht="17.100000000000001" customHeight="1" x14ac:dyDescent="0.2">
      <c r="A136" s="46"/>
      <c r="B136" s="48"/>
      <c r="C136" s="34" t="s">
        <v>211</v>
      </c>
      <c r="D136" s="51">
        <f>MAX($D$6:D135)+1</f>
        <v>119</v>
      </c>
      <c r="E136" s="17">
        <v>2</v>
      </c>
      <c r="F136" s="17">
        <v>0</v>
      </c>
      <c r="G136" s="17">
        <v>1</v>
      </c>
      <c r="H136" s="16" t="s">
        <v>192</v>
      </c>
      <c r="I136" s="17">
        <v>1</v>
      </c>
      <c r="J136" s="17">
        <v>0</v>
      </c>
      <c r="K136" s="17"/>
      <c r="L136" s="17"/>
      <c r="M136" s="54" t="s">
        <v>212</v>
      </c>
    </row>
    <row r="137" spans="1:13" s="2" customFormat="1" ht="17.100000000000001" customHeight="1" x14ac:dyDescent="0.2">
      <c r="A137" s="46"/>
      <c r="B137" s="48"/>
      <c r="C137" s="32" t="s">
        <v>97</v>
      </c>
      <c r="D137" s="52"/>
      <c r="E137" s="17">
        <v>2</v>
      </c>
      <c r="F137" s="17">
        <v>2</v>
      </c>
      <c r="G137" s="17">
        <v>3</v>
      </c>
      <c r="H137" s="16" t="s">
        <v>192</v>
      </c>
      <c r="I137" s="17">
        <v>1</v>
      </c>
      <c r="J137" s="17">
        <v>0</v>
      </c>
      <c r="K137" s="17"/>
      <c r="L137" s="17"/>
      <c r="M137" s="55"/>
    </row>
    <row r="138" spans="1:13" s="2" customFormat="1" ht="17.100000000000001" customHeight="1" x14ac:dyDescent="0.2">
      <c r="A138" s="46"/>
      <c r="B138" s="48"/>
      <c r="C138" s="32" t="s">
        <v>97</v>
      </c>
      <c r="D138" s="52"/>
      <c r="E138" s="17">
        <v>2</v>
      </c>
      <c r="F138" s="17">
        <v>4</v>
      </c>
      <c r="G138" s="17">
        <v>5</v>
      </c>
      <c r="H138" s="16" t="s">
        <v>192</v>
      </c>
      <c r="I138" s="17">
        <v>1</v>
      </c>
      <c r="J138" s="17">
        <v>0</v>
      </c>
      <c r="K138" s="17"/>
      <c r="L138" s="17"/>
      <c r="M138" s="55"/>
    </row>
    <row r="139" spans="1:13" s="3" customFormat="1" ht="17.100000000000001" customHeight="1" x14ac:dyDescent="0.2">
      <c r="A139" s="46"/>
      <c r="B139" s="48"/>
      <c r="C139" s="32" t="s">
        <v>97</v>
      </c>
      <c r="D139" s="52"/>
      <c r="E139" s="17">
        <v>2</v>
      </c>
      <c r="F139" s="17">
        <v>6</v>
      </c>
      <c r="G139" s="17">
        <v>7</v>
      </c>
      <c r="H139" s="16" t="s">
        <v>192</v>
      </c>
      <c r="I139" s="17">
        <v>1</v>
      </c>
      <c r="J139" s="17">
        <v>0</v>
      </c>
      <c r="K139" s="17"/>
      <c r="L139" s="17"/>
      <c r="M139" s="56"/>
    </row>
    <row r="140" spans="1:13" s="3" customFormat="1" ht="17.100000000000001" customHeight="1" x14ac:dyDescent="0.2">
      <c r="A140" s="46"/>
      <c r="B140" s="48"/>
      <c r="C140" s="34" t="s">
        <v>213</v>
      </c>
      <c r="D140" s="51">
        <f>MAX($D$6:D139)+1</f>
        <v>120</v>
      </c>
      <c r="E140" s="17">
        <v>2</v>
      </c>
      <c r="F140" s="17">
        <v>0</v>
      </c>
      <c r="G140" s="17">
        <v>1</v>
      </c>
      <c r="H140" s="16" t="s">
        <v>192</v>
      </c>
      <c r="I140" s="17">
        <v>1</v>
      </c>
      <c r="J140" s="17">
        <v>0</v>
      </c>
      <c r="K140" s="17"/>
      <c r="L140" s="17"/>
      <c r="M140" s="54" t="s">
        <v>214</v>
      </c>
    </row>
    <row r="141" spans="1:13" s="3" customFormat="1" ht="17.100000000000001" customHeight="1" x14ac:dyDescent="0.2">
      <c r="A141" s="46"/>
      <c r="B141" s="48"/>
      <c r="C141" s="32" t="s">
        <v>97</v>
      </c>
      <c r="D141" s="52"/>
      <c r="E141" s="17">
        <v>2</v>
      </c>
      <c r="F141" s="17">
        <v>2</v>
      </c>
      <c r="G141" s="17">
        <v>3</v>
      </c>
      <c r="H141" s="16" t="s">
        <v>192</v>
      </c>
      <c r="I141" s="17">
        <v>1</v>
      </c>
      <c r="J141" s="17">
        <v>0</v>
      </c>
      <c r="K141" s="17"/>
      <c r="L141" s="17"/>
      <c r="M141" s="55"/>
    </row>
    <row r="142" spans="1:13" s="3" customFormat="1" ht="17.100000000000001" customHeight="1" x14ac:dyDescent="0.2">
      <c r="A142" s="46"/>
      <c r="B142" s="48"/>
      <c r="C142" s="32" t="s">
        <v>97</v>
      </c>
      <c r="D142" s="52"/>
      <c r="E142" s="17">
        <v>2</v>
      </c>
      <c r="F142" s="17">
        <v>4</v>
      </c>
      <c r="G142" s="17">
        <v>5</v>
      </c>
      <c r="H142" s="16" t="s">
        <v>192</v>
      </c>
      <c r="I142" s="17">
        <v>1</v>
      </c>
      <c r="J142" s="17">
        <v>0</v>
      </c>
      <c r="K142" s="17"/>
      <c r="L142" s="17"/>
      <c r="M142" s="55"/>
    </row>
    <row r="143" spans="1:13" s="3" customFormat="1" ht="17.100000000000001" customHeight="1" x14ac:dyDescent="0.2">
      <c r="A143" s="46"/>
      <c r="B143" s="48"/>
      <c r="C143" s="32" t="s">
        <v>97</v>
      </c>
      <c r="D143" s="52"/>
      <c r="E143" s="17">
        <v>2</v>
      </c>
      <c r="F143" s="17">
        <v>6</v>
      </c>
      <c r="G143" s="17">
        <v>7</v>
      </c>
      <c r="H143" s="16" t="s">
        <v>192</v>
      </c>
      <c r="I143" s="17">
        <v>1</v>
      </c>
      <c r="J143" s="17">
        <v>0</v>
      </c>
      <c r="K143" s="17"/>
      <c r="L143" s="17"/>
      <c r="M143" s="56"/>
    </row>
    <row r="144" spans="1:13" s="2" customFormat="1" ht="17.100000000000001" customHeight="1" x14ac:dyDescent="0.2">
      <c r="A144" s="46" t="s">
        <v>215</v>
      </c>
      <c r="B144" s="48"/>
      <c r="C144" s="34" t="s">
        <v>216</v>
      </c>
      <c r="D144" s="51">
        <f>MAX($D$6:D143)+1</f>
        <v>121</v>
      </c>
      <c r="E144" s="17">
        <v>2</v>
      </c>
      <c r="F144" s="17">
        <v>0</v>
      </c>
      <c r="G144" s="17">
        <v>1</v>
      </c>
      <c r="H144" s="16" t="s">
        <v>217</v>
      </c>
      <c r="I144" s="17">
        <v>1</v>
      </c>
      <c r="J144" s="17">
        <v>0</v>
      </c>
      <c r="K144" s="17"/>
      <c r="L144" s="17"/>
      <c r="M144" s="54" t="s">
        <v>218</v>
      </c>
    </row>
    <row r="145" spans="1:13" s="2" customFormat="1" ht="17.100000000000001" customHeight="1" x14ac:dyDescent="0.2">
      <c r="A145" s="46"/>
      <c r="B145" s="48"/>
      <c r="C145" s="32" t="s">
        <v>97</v>
      </c>
      <c r="D145" s="52"/>
      <c r="E145" s="17">
        <v>2</v>
      </c>
      <c r="F145" s="17">
        <v>2</v>
      </c>
      <c r="G145" s="17">
        <v>3</v>
      </c>
      <c r="H145" s="16" t="s">
        <v>217</v>
      </c>
      <c r="I145" s="17">
        <v>1</v>
      </c>
      <c r="J145" s="17">
        <v>0</v>
      </c>
      <c r="K145" s="17"/>
      <c r="L145" s="17"/>
      <c r="M145" s="55"/>
    </row>
    <row r="146" spans="1:13" s="2" customFormat="1" ht="17.100000000000001" customHeight="1" x14ac:dyDescent="0.2">
      <c r="A146" s="46"/>
      <c r="B146" s="48"/>
      <c r="C146" s="32" t="s">
        <v>97</v>
      </c>
      <c r="D146" s="52"/>
      <c r="E146" s="17">
        <v>2</v>
      </c>
      <c r="F146" s="17">
        <v>4</v>
      </c>
      <c r="G146" s="17">
        <v>5</v>
      </c>
      <c r="H146" s="16" t="s">
        <v>217</v>
      </c>
      <c r="I146" s="17">
        <v>1</v>
      </c>
      <c r="J146" s="17">
        <v>0</v>
      </c>
      <c r="K146" s="17"/>
      <c r="L146" s="17"/>
      <c r="M146" s="55"/>
    </row>
    <row r="147" spans="1:13" s="2" customFormat="1" ht="17.100000000000001" customHeight="1" x14ac:dyDescent="0.2">
      <c r="A147" s="46"/>
      <c r="B147" s="48"/>
      <c r="C147" s="32" t="s">
        <v>97</v>
      </c>
      <c r="D147" s="52"/>
      <c r="E147" s="17">
        <v>2</v>
      </c>
      <c r="F147" s="17">
        <v>6</v>
      </c>
      <c r="G147" s="17">
        <v>7</v>
      </c>
      <c r="H147" s="16" t="s">
        <v>217</v>
      </c>
      <c r="I147" s="17">
        <v>1</v>
      </c>
      <c r="J147" s="17">
        <v>0</v>
      </c>
      <c r="K147" s="17"/>
      <c r="L147" s="17"/>
      <c r="M147" s="56"/>
    </row>
    <row r="148" spans="1:13" s="3" customFormat="1" ht="17.100000000000001" customHeight="1" x14ac:dyDescent="0.2">
      <c r="A148" s="46"/>
      <c r="B148" s="48"/>
      <c r="C148" s="34" t="s">
        <v>219</v>
      </c>
      <c r="D148" s="51">
        <f>MAX($D$6:D147)+1</f>
        <v>122</v>
      </c>
      <c r="E148" s="17">
        <v>1</v>
      </c>
      <c r="F148" s="17">
        <v>0</v>
      </c>
      <c r="G148" s="17">
        <v>0</v>
      </c>
      <c r="H148" s="16" t="s">
        <v>198</v>
      </c>
      <c r="I148" s="17">
        <v>1</v>
      </c>
      <c r="J148" s="17">
        <v>0</v>
      </c>
      <c r="K148" s="17"/>
      <c r="L148" s="17"/>
      <c r="M148" s="54" t="s">
        <v>220</v>
      </c>
    </row>
    <row r="149" spans="1:13" s="3" customFormat="1" ht="17.100000000000001" customHeight="1" x14ac:dyDescent="0.2">
      <c r="A149" s="46"/>
      <c r="B149" s="48"/>
      <c r="C149" s="32" t="s">
        <v>97</v>
      </c>
      <c r="D149" s="52"/>
      <c r="E149" s="17">
        <v>1</v>
      </c>
      <c r="F149" s="17">
        <v>1</v>
      </c>
      <c r="G149" s="17">
        <v>1</v>
      </c>
      <c r="H149" s="16" t="s">
        <v>198</v>
      </c>
      <c r="I149" s="17">
        <v>1</v>
      </c>
      <c r="J149" s="17">
        <v>0</v>
      </c>
      <c r="K149" s="17"/>
      <c r="L149" s="17"/>
      <c r="M149" s="55"/>
    </row>
    <row r="150" spans="1:13" s="3" customFormat="1" ht="17.100000000000001" customHeight="1" x14ac:dyDescent="0.2">
      <c r="A150" s="46"/>
      <c r="B150" s="48"/>
      <c r="C150" s="32" t="s">
        <v>97</v>
      </c>
      <c r="D150" s="52"/>
      <c r="E150" s="17">
        <v>1</v>
      </c>
      <c r="F150" s="17">
        <v>2</v>
      </c>
      <c r="G150" s="17">
        <v>2</v>
      </c>
      <c r="H150" s="16" t="s">
        <v>198</v>
      </c>
      <c r="I150" s="17">
        <v>1</v>
      </c>
      <c r="J150" s="17">
        <v>0</v>
      </c>
      <c r="K150" s="17"/>
      <c r="L150" s="17"/>
      <c r="M150" s="55"/>
    </row>
    <row r="151" spans="1:13" s="3" customFormat="1" ht="15.75" customHeight="1" x14ac:dyDescent="0.2">
      <c r="A151" s="46"/>
      <c r="B151" s="48"/>
      <c r="C151" s="32" t="s">
        <v>97</v>
      </c>
      <c r="D151" s="52"/>
      <c r="E151" s="17">
        <v>1</v>
      </c>
      <c r="F151" s="17">
        <v>3</v>
      </c>
      <c r="G151" s="17">
        <v>3</v>
      </c>
      <c r="H151" s="16" t="s">
        <v>198</v>
      </c>
      <c r="I151" s="17">
        <v>1</v>
      </c>
      <c r="J151" s="17">
        <v>0</v>
      </c>
      <c r="K151" s="17"/>
      <c r="L151" s="17"/>
      <c r="M151" s="55"/>
    </row>
    <row r="152" spans="1:13" s="3" customFormat="1" ht="17.100000000000001" customHeight="1" x14ac:dyDescent="0.2">
      <c r="A152" s="46"/>
      <c r="B152" s="48"/>
      <c r="C152" s="34" t="s">
        <v>237</v>
      </c>
      <c r="D152" s="52"/>
      <c r="E152" s="17">
        <v>1</v>
      </c>
      <c r="F152" s="17">
        <v>4</v>
      </c>
      <c r="G152" s="17">
        <v>4</v>
      </c>
      <c r="H152" s="16" t="s">
        <v>198</v>
      </c>
      <c r="I152" s="17">
        <v>1</v>
      </c>
      <c r="J152" s="17">
        <v>0</v>
      </c>
      <c r="K152" s="17"/>
      <c r="L152" s="17"/>
      <c r="M152" s="55"/>
    </row>
    <row r="153" spans="1:13" s="3" customFormat="1" ht="17.100000000000001" customHeight="1" x14ac:dyDescent="0.2">
      <c r="A153" s="46"/>
      <c r="B153" s="48"/>
      <c r="C153" s="32" t="s">
        <v>97</v>
      </c>
      <c r="D153" s="52"/>
      <c r="E153" s="17">
        <v>1</v>
      </c>
      <c r="F153" s="17">
        <v>5</v>
      </c>
      <c r="G153" s="17">
        <v>5</v>
      </c>
      <c r="H153" s="16" t="s">
        <v>198</v>
      </c>
      <c r="I153" s="17">
        <v>1</v>
      </c>
      <c r="J153" s="17">
        <v>0</v>
      </c>
      <c r="K153" s="17"/>
      <c r="L153" s="17"/>
      <c r="M153" s="55"/>
    </row>
    <row r="154" spans="1:13" s="3" customFormat="1" ht="17.100000000000001" customHeight="1" x14ac:dyDescent="0.2">
      <c r="A154" s="46"/>
      <c r="B154" s="48"/>
      <c r="C154" s="32" t="s">
        <v>97</v>
      </c>
      <c r="D154" s="52"/>
      <c r="E154" s="17">
        <v>1</v>
      </c>
      <c r="F154" s="17">
        <v>6</v>
      </c>
      <c r="G154" s="17">
        <v>6</v>
      </c>
      <c r="H154" s="16" t="s">
        <v>198</v>
      </c>
      <c r="I154" s="17">
        <v>1</v>
      </c>
      <c r="J154" s="17">
        <v>0</v>
      </c>
      <c r="K154" s="17"/>
      <c r="L154" s="17"/>
      <c r="M154" s="55"/>
    </row>
    <row r="155" spans="1:13" s="3" customFormat="1" ht="17.100000000000001" customHeight="1" x14ac:dyDescent="0.2">
      <c r="A155" s="46"/>
      <c r="B155" s="48"/>
      <c r="C155" s="32" t="s">
        <v>97</v>
      </c>
      <c r="D155" s="53"/>
      <c r="E155" s="17">
        <v>1</v>
      </c>
      <c r="F155" s="17">
        <v>7</v>
      </c>
      <c r="G155" s="17">
        <v>7</v>
      </c>
      <c r="H155" s="16" t="s">
        <v>198</v>
      </c>
      <c r="I155" s="17">
        <v>1</v>
      </c>
      <c r="J155" s="17">
        <v>0</v>
      </c>
      <c r="K155" s="17"/>
      <c r="L155" s="17"/>
      <c r="M155" s="56"/>
    </row>
    <row r="156" spans="1:13" s="3" customFormat="1" ht="17.100000000000001" customHeight="1" x14ac:dyDescent="0.2">
      <c r="A156" s="46"/>
      <c r="B156" s="48"/>
      <c r="C156" s="34" t="s">
        <v>221</v>
      </c>
      <c r="D156" s="51">
        <f>MAX($D$6:D155)+1</f>
        <v>123</v>
      </c>
      <c r="E156" s="17">
        <v>1</v>
      </c>
      <c r="F156" s="17">
        <v>0</v>
      </c>
      <c r="G156" s="17">
        <v>0</v>
      </c>
      <c r="H156" s="16" t="s">
        <v>198</v>
      </c>
      <c r="I156" s="17">
        <v>1</v>
      </c>
      <c r="J156" s="17">
        <v>0</v>
      </c>
      <c r="K156" s="17"/>
      <c r="L156" s="17"/>
      <c r="M156" s="54" t="s">
        <v>222</v>
      </c>
    </row>
    <row r="157" spans="1:13" s="3" customFormat="1" ht="17.100000000000001" customHeight="1" x14ac:dyDescent="0.2">
      <c r="A157" s="46"/>
      <c r="B157" s="48"/>
      <c r="C157" s="32" t="s">
        <v>97</v>
      </c>
      <c r="D157" s="52"/>
      <c r="E157" s="17">
        <v>1</v>
      </c>
      <c r="F157" s="17">
        <v>1</v>
      </c>
      <c r="G157" s="17">
        <v>1</v>
      </c>
      <c r="H157" s="16" t="s">
        <v>198</v>
      </c>
      <c r="I157" s="17">
        <v>1</v>
      </c>
      <c r="J157" s="17">
        <v>0</v>
      </c>
      <c r="K157" s="17"/>
      <c r="L157" s="17"/>
      <c r="M157" s="55"/>
    </row>
    <row r="158" spans="1:13" s="3" customFormat="1" ht="17.100000000000001" customHeight="1" x14ac:dyDescent="0.2">
      <c r="A158" s="46"/>
      <c r="B158" s="48"/>
      <c r="C158" s="32" t="s">
        <v>97</v>
      </c>
      <c r="D158" s="52"/>
      <c r="E158" s="17">
        <v>1</v>
      </c>
      <c r="F158" s="17">
        <v>2</v>
      </c>
      <c r="G158" s="17">
        <v>2</v>
      </c>
      <c r="H158" s="16" t="s">
        <v>198</v>
      </c>
      <c r="I158" s="17">
        <v>1</v>
      </c>
      <c r="J158" s="17">
        <v>0</v>
      </c>
      <c r="K158" s="17"/>
      <c r="L158" s="17"/>
      <c r="M158" s="55"/>
    </row>
    <row r="159" spans="1:13" s="3" customFormat="1" ht="17.100000000000001" customHeight="1" x14ac:dyDescent="0.2">
      <c r="A159" s="46"/>
      <c r="B159" s="48"/>
      <c r="C159" s="32" t="s">
        <v>97</v>
      </c>
      <c r="D159" s="52"/>
      <c r="E159" s="17">
        <v>1</v>
      </c>
      <c r="F159" s="17">
        <v>3</v>
      </c>
      <c r="G159" s="17">
        <v>3</v>
      </c>
      <c r="H159" s="16" t="s">
        <v>198</v>
      </c>
      <c r="I159" s="17">
        <v>1</v>
      </c>
      <c r="J159" s="17">
        <v>0</v>
      </c>
      <c r="K159" s="17"/>
      <c r="L159" s="17"/>
      <c r="M159" s="55"/>
    </row>
    <row r="160" spans="1:13" s="3" customFormat="1" ht="17.100000000000001" customHeight="1" x14ac:dyDescent="0.2">
      <c r="A160" s="15"/>
      <c r="B160" s="48"/>
      <c r="C160" s="34" t="s">
        <v>223</v>
      </c>
      <c r="D160" s="52"/>
      <c r="E160" s="17">
        <v>1</v>
      </c>
      <c r="F160" s="17">
        <v>4</v>
      </c>
      <c r="G160" s="17">
        <v>4</v>
      </c>
      <c r="H160" s="16" t="s">
        <v>198</v>
      </c>
      <c r="I160" s="17">
        <v>1</v>
      </c>
      <c r="J160" s="17">
        <v>0</v>
      </c>
      <c r="K160" s="17"/>
      <c r="L160" s="17"/>
      <c r="M160" s="55"/>
    </row>
    <row r="161" spans="1:13" s="3" customFormat="1" ht="17.100000000000001" customHeight="1" x14ac:dyDescent="0.2">
      <c r="A161" s="15"/>
      <c r="B161" s="48"/>
      <c r="C161" s="32" t="s">
        <v>97</v>
      </c>
      <c r="D161" s="52"/>
      <c r="E161" s="17">
        <v>1</v>
      </c>
      <c r="F161" s="17">
        <v>5</v>
      </c>
      <c r="G161" s="17">
        <v>5</v>
      </c>
      <c r="H161" s="16" t="s">
        <v>198</v>
      </c>
      <c r="I161" s="17">
        <v>1</v>
      </c>
      <c r="J161" s="17">
        <v>0</v>
      </c>
      <c r="K161" s="17"/>
      <c r="L161" s="17"/>
      <c r="M161" s="55"/>
    </row>
    <row r="162" spans="1:13" s="3" customFormat="1" ht="17.100000000000001" customHeight="1" x14ac:dyDescent="0.2">
      <c r="A162" s="15"/>
      <c r="B162" s="48"/>
      <c r="C162" s="32" t="s">
        <v>97</v>
      </c>
      <c r="D162" s="52"/>
      <c r="E162" s="17">
        <v>1</v>
      </c>
      <c r="F162" s="17">
        <v>6</v>
      </c>
      <c r="G162" s="17">
        <v>6</v>
      </c>
      <c r="H162" s="16" t="s">
        <v>198</v>
      </c>
      <c r="I162" s="17">
        <v>1</v>
      </c>
      <c r="J162" s="17">
        <v>0</v>
      </c>
      <c r="K162" s="17"/>
      <c r="L162" s="17"/>
      <c r="M162" s="55"/>
    </row>
    <row r="163" spans="1:13" s="3" customFormat="1" ht="17.100000000000001" customHeight="1" x14ac:dyDescent="0.2">
      <c r="A163" s="15"/>
      <c r="B163" s="48"/>
      <c r="C163" s="32" t="s">
        <v>97</v>
      </c>
      <c r="D163" s="53"/>
      <c r="E163" s="17">
        <v>1</v>
      </c>
      <c r="F163" s="17">
        <v>7</v>
      </c>
      <c r="G163" s="17">
        <v>7</v>
      </c>
      <c r="H163" s="16" t="s">
        <v>198</v>
      </c>
      <c r="I163" s="17">
        <v>1</v>
      </c>
      <c r="J163" s="17">
        <v>0</v>
      </c>
      <c r="K163" s="17"/>
      <c r="L163" s="17"/>
      <c r="M163" s="56"/>
    </row>
    <row r="164" spans="1:13" s="3" customFormat="1" ht="17.100000000000001" customHeight="1" x14ac:dyDescent="0.2">
      <c r="A164" s="15"/>
      <c r="B164" s="48"/>
      <c r="C164" s="34" t="s">
        <v>224</v>
      </c>
      <c r="D164" s="51">
        <f>MAX($D$6:D163)+1</f>
        <v>124</v>
      </c>
      <c r="E164" s="17">
        <v>2</v>
      </c>
      <c r="F164" s="17">
        <v>0</v>
      </c>
      <c r="G164" s="17">
        <v>1</v>
      </c>
      <c r="H164" s="16" t="s">
        <v>192</v>
      </c>
      <c r="I164" s="17">
        <v>1</v>
      </c>
      <c r="J164" s="17">
        <v>0</v>
      </c>
      <c r="K164" s="17"/>
      <c r="L164" s="17"/>
      <c r="M164" s="54" t="s">
        <v>225</v>
      </c>
    </row>
    <row r="165" spans="1:13" s="3" customFormat="1" ht="17.100000000000001" customHeight="1" x14ac:dyDescent="0.2">
      <c r="A165" s="15"/>
      <c r="B165" s="48"/>
      <c r="C165" s="32" t="s">
        <v>97</v>
      </c>
      <c r="D165" s="52"/>
      <c r="E165" s="17">
        <v>2</v>
      </c>
      <c r="F165" s="17">
        <v>2</v>
      </c>
      <c r="G165" s="17">
        <v>3</v>
      </c>
      <c r="H165" s="16" t="s">
        <v>192</v>
      </c>
      <c r="I165" s="17">
        <v>1</v>
      </c>
      <c r="J165" s="17">
        <v>0</v>
      </c>
      <c r="K165" s="17"/>
      <c r="L165" s="17"/>
      <c r="M165" s="55"/>
    </row>
    <row r="166" spans="1:13" s="3" customFormat="1" ht="17.100000000000001" customHeight="1" x14ac:dyDescent="0.2">
      <c r="A166" s="15"/>
      <c r="B166" s="48"/>
      <c r="C166" s="32" t="s">
        <v>97</v>
      </c>
      <c r="D166" s="52"/>
      <c r="E166" s="17">
        <v>2</v>
      </c>
      <c r="F166" s="17">
        <v>4</v>
      </c>
      <c r="G166" s="17">
        <v>5</v>
      </c>
      <c r="H166" s="16" t="s">
        <v>192</v>
      </c>
      <c r="I166" s="17">
        <v>1</v>
      </c>
      <c r="J166" s="17">
        <v>0</v>
      </c>
      <c r="K166" s="17"/>
      <c r="L166" s="17"/>
      <c r="M166" s="55"/>
    </row>
    <row r="167" spans="1:13" s="3" customFormat="1" ht="17.100000000000001" customHeight="1" x14ac:dyDescent="0.2">
      <c r="A167" s="15"/>
      <c r="B167" s="48"/>
      <c r="C167" s="32" t="s">
        <v>97</v>
      </c>
      <c r="D167" s="52"/>
      <c r="E167" s="17">
        <v>2</v>
      </c>
      <c r="F167" s="17">
        <v>6</v>
      </c>
      <c r="G167" s="17">
        <v>7</v>
      </c>
      <c r="H167" s="16" t="s">
        <v>192</v>
      </c>
      <c r="I167" s="17">
        <v>1</v>
      </c>
      <c r="J167" s="17">
        <v>0</v>
      </c>
      <c r="K167" s="17"/>
      <c r="L167" s="17"/>
      <c r="M167" s="56"/>
    </row>
    <row r="168" spans="1:13" s="3" customFormat="1" ht="17.100000000000001" customHeight="1" x14ac:dyDescent="0.2">
      <c r="A168" s="15"/>
      <c r="B168" s="48"/>
      <c r="C168" s="34" t="s">
        <v>226</v>
      </c>
      <c r="D168" s="51">
        <f>MAX($D$6:D167)+1</f>
        <v>125</v>
      </c>
      <c r="E168" s="17">
        <v>2</v>
      </c>
      <c r="F168" s="17">
        <v>0</v>
      </c>
      <c r="G168" s="17">
        <v>1</v>
      </c>
      <c r="H168" s="16" t="s">
        <v>192</v>
      </c>
      <c r="I168" s="17">
        <v>1</v>
      </c>
      <c r="J168" s="17">
        <v>0</v>
      </c>
      <c r="K168" s="17"/>
      <c r="L168" s="17"/>
      <c r="M168" s="54" t="s">
        <v>227</v>
      </c>
    </row>
    <row r="169" spans="1:13" s="3" customFormat="1" ht="17.100000000000001" customHeight="1" x14ac:dyDescent="0.2">
      <c r="A169" s="15"/>
      <c r="B169" s="48"/>
      <c r="C169" s="32" t="s">
        <v>97</v>
      </c>
      <c r="D169" s="52"/>
      <c r="E169" s="17">
        <v>2</v>
      </c>
      <c r="F169" s="17">
        <v>2</v>
      </c>
      <c r="G169" s="17">
        <v>3</v>
      </c>
      <c r="H169" s="16" t="s">
        <v>192</v>
      </c>
      <c r="I169" s="17">
        <v>1</v>
      </c>
      <c r="J169" s="17">
        <v>0</v>
      </c>
      <c r="K169" s="17"/>
      <c r="L169" s="17"/>
      <c r="M169" s="55"/>
    </row>
    <row r="170" spans="1:13" s="3" customFormat="1" ht="17.100000000000001" customHeight="1" x14ac:dyDescent="0.2">
      <c r="A170" s="15"/>
      <c r="B170" s="48"/>
      <c r="C170" s="32" t="s">
        <v>97</v>
      </c>
      <c r="D170" s="52"/>
      <c r="E170" s="17">
        <v>2</v>
      </c>
      <c r="F170" s="17">
        <v>4</v>
      </c>
      <c r="G170" s="17">
        <v>5</v>
      </c>
      <c r="H170" s="16" t="s">
        <v>192</v>
      </c>
      <c r="I170" s="17">
        <v>1</v>
      </c>
      <c r="J170" s="17">
        <v>0</v>
      </c>
      <c r="K170" s="17"/>
      <c r="L170" s="17"/>
      <c r="M170" s="55"/>
    </row>
    <row r="171" spans="1:13" s="3" customFormat="1" ht="17.100000000000001" customHeight="1" x14ac:dyDescent="0.2">
      <c r="A171" s="15"/>
      <c r="B171" s="48"/>
      <c r="C171" s="32" t="s">
        <v>97</v>
      </c>
      <c r="D171" s="52"/>
      <c r="E171" s="17">
        <v>2</v>
      </c>
      <c r="F171" s="17">
        <v>6</v>
      </c>
      <c r="G171" s="17">
        <v>7</v>
      </c>
      <c r="H171" s="16" t="s">
        <v>192</v>
      </c>
      <c r="I171" s="17">
        <v>1</v>
      </c>
      <c r="J171" s="17">
        <v>0</v>
      </c>
      <c r="K171" s="17"/>
      <c r="L171" s="17"/>
      <c r="M171" s="56"/>
    </row>
    <row r="172" spans="1:13" s="3" customFormat="1" ht="17.100000000000001" customHeight="1" x14ac:dyDescent="0.2">
      <c r="A172" s="15"/>
      <c r="B172" s="48"/>
      <c r="C172" s="34" t="s">
        <v>234</v>
      </c>
      <c r="D172" s="51">
        <f>MAX($D$6:D171)+1</f>
        <v>126</v>
      </c>
      <c r="E172" s="17">
        <v>2</v>
      </c>
      <c r="F172" s="17">
        <v>0</v>
      </c>
      <c r="G172" s="17">
        <v>1</v>
      </c>
      <c r="H172" s="16" t="s">
        <v>192</v>
      </c>
      <c r="I172" s="17">
        <v>1</v>
      </c>
      <c r="J172" s="17">
        <v>0</v>
      </c>
      <c r="K172" s="17"/>
      <c r="L172" s="17"/>
      <c r="M172" s="54" t="s">
        <v>228</v>
      </c>
    </row>
    <row r="173" spans="1:13" s="3" customFormat="1" ht="17.100000000000001" customHeight="1" x14ac:dyDescent="0.2">
      <c r="A173" s="15"/>
      <c r="B173" s="48"/>
      <c r="C173" s="32" t="s">
        <v>97</v>
      </c>
      <c r="D173" s="52"/>
      <c r="E173" s="17">
        <v>2</v>
      </c>
      <c r="F173" s="17">
        <v>2</v>
      </c>
      <c r="G173" s="17">
        <v>3</v>
      </c>
      <c r="H173" s="16" t="s">
        <v>192</v>
      </c>
      <c r="I173" s="17">
        <v>1</v>
      </c>
      <c r="J173" s="17">
        <v>0</v>
      </c>
      <c r="K173" s="17"/>
      <c r="L173" s="17"/>
      <c r="M173" s="55"/>
    </row>
    <row r="174" spans="1:13" s="3" customFormat="1" ht="17.100000000000001" customHeight="1" x14ac:dyDescent="0.2">
      <c r="A174" s="15"/>
      <c r="B174" s="48"/>
      <c r="C174" s="32" t="s">
        <v>97</v>
      </c>
      <c r="D174" s="52"/>
      <c r="E174" s="17">
        <v>2</v>
      </c>
      <c r="F174" s="17">
        <v>4</v>
      </c>
      <c r="G174" s="17">
        <v>5</v>
      </c>
      <c r="H174" s="16" t="s">
        <v>192</v>
      </c>
      <c r="I174" s="17">
        <v>1</v>
      </c>
      <c r="J174" s="17">
        <v>0</v>
      </c>
      <c r="K174" s="17"/>
      <c r="L174" s="17"/>
      <c r="M174" s="55"/>
    </row>
    <row r="175" spans="1:13" s="3" customFormat="1" ht="17.100000000000001" customHeight="1" x14ac:dyDescent="0.2">
      <c r="A175" s="15"/>
      <c r="B175" s="48"/>
      <c r="C175" s="32" t="s">
        <v>97</v>
      </c>
      <c r="D175" s="52"/>
      <c r="E175" s="17">
        <v>2</v>
      </c>
      <c r="F175" s="17">
        <v>6</v>
      </c>
      <c r="G175" s="17">
        <v>7</v>
      </c>
      <c r="H175" s="16" t="s">
        <v>192</v>
      </c>
      <c r="I175" s="17">
        <v>1</v>
      </c>
      <c r="J175" s="17">
        <v>0</v>
      </c>
      <c r="K175" s="17"/>
      <c r="L175" s="17"/>
      <c r="M175" s="56"/>
    </row>
    <row r="176" spans="1:13" s="3" customFormat="1" ht="17.100000000000001" customHeight="1" x14ac:dyDescent="0.2">
      <c r="A176" s="15"/>
      <c r="B176" s="48"/>
      <c r="C176" s="34" t="s">
        <v>235</v>
      </c>
      <c r="D176" s="51">
        <f>MAX($D$6:D175)+1</f>
        <v>127</v>
      </c>
      <c r="E176" s="17">
        <v>2</v>
      </c>
      <c r="F176" s="17">
        <v>0</v>
      </c>
      <c r="G176" s="17">
        <v>1</v>
      </c>
      <c r="H176" s="16" t="s">
        <v>192</v>
      </c>
      <c r="I176" s="17">
        <v>1</v>
      </c>
      <c r="J176" s="17">
        <v>0</v>
      </c>
      <c r="K176" s="17"/>
      <c r="L176" s="17"/>
      <c r="M176" s="54" t="s">
        <v>229</v>
      </c>
    </row>
    <row r="177" spans="1:13" s="3" customFormat="1" ht="17.100000000000001" customHeight="1" x14ac:dyDescent="0.2">
      <c r="A177" s="15"/>
      <c r="B177" s="48"/>
      <c r="C177" s="32" t="s">
        <v>97</v>
      </c>
      <c r="D177" s="52"/>
      <c r="E177" s="17">
        <v>2</v>
      </c>
      <c r="F177" s="17">
        <v>2</v>
      </c>
      <c r="G177" s="17">
        <v>3</v>
      </c>
      <c r="H177" s="16" t="s">
        <v>192</v>
      </c>
      <c r="I177" s="17">
        <v>1</v>
      </c>
      <c r="J177" s="17">
        <v>0</v>
      </c>
      <c r="K177" s="17"/>
      <c r="L177" s="17"/>
      <c r="M177" s="55"/>
    </row>
    <row r="178" spans="1:13" s="3" customFormat="1" ht="17.100000000000001" customHeight="1" x14ac:dyDescent="0.2">
      <c r="A178" s="15"/>
      <c r="B178" s="48"/>
      <c r="C178" s="32" t="s">
        <v>97</v>
      </c>
      <c r="D178" s="52"/>
      <c r="E178" s="17">
        <v>2</v>
      </c>
      <c r="F178" s="17">
        <v>4</v>
      </c>
      <c r="G178" s="17">
        <v>5</v>
      </c>
      <c r="H178" s="16" t="s">
        <v>192</v>
      </c>
      <c r="I178" s="17">
        <v>1</v>
      </c>
      <c r="J178" s="17">
        <v>0</v>
      </c>
      <c r="K178" s="17"/>
      <c r="L178" s="17"/>
      <c r="M178" s="55"/>
    </row>
    <row r="179" spans="1:13" s="3" customFormat="1" ht="17.100000000000001" customHeight="1" x14ac:dyDescent="0.2">
      <c r="A179" s="15"/>
      <c r="B179" s="48"/>
      <c r="C179" s="32" t="s">
        <v>97</v>
      </c>
      <c r="D179" s="52"/>
      <c r="E179" s="17">
        <v>2</v>
      </c>
      <c r="F179" s="17">
        <v>6</v>
      </c>
      <c r="G179" s="17">
        <v>7</v>
      </c>
      <c r="H179" s="16" t="s">
        <v>192</v>
      </c>
      <c r="I179" s="17">
        <v>1</v>
      </c>
      <c r="J179" s="17">
        <v>0</v>
      </c>
      <c r="K179" s="17"/>
      <c r="L179" s="17"/>
      <c r="M179" s="56"/>
    </row>
    <row r="180" spans="1:13" s="3" customFormat="1" ht="17.100000000000001" customHeight="1" x14ac:dyDescent="0.2">
      <c r="A180" s="15"/>
      <c r="B180" s="48"/>
      <c r="C180" s="34" t="s">
        <v>230</v>
      </c>
      <c r="D180" s="51">
        <f>MAX($D$6:D176)+1</f>
        <v>128</v>
      </c>
      <c r="E180" s="17">
        <v>1</v>
      </c>
      <c r="F180" s="17">
        <v>0</v>
      </c>
      <c r="G180" s="17">
        <v>0</v>
      </c>
      <c r="H180" s="16" t="s">
        <v>198</v>
      </c>
      <c r="I180" s="17">
        <v>1</v>
      </c>
      <c r="J180" s="17">
        <v>0</v>
      </c>
      <c r="K180" s="17"/>
      <c r="L180" s="17"/>
      <c r="M180" s="54" t="s">
        <v>231</v>
      </c>
    </row>
    <row r="181" spans="1:13" s="3" customFormat="1" ht="17.100000000000001" customHeight="1" x14ac:dyDescent="0.2">
      <c r="A181" s="15"/>
      <c r="B181" s="48"/>
      <c r="C181" s="32" t="s">
        <v>97</v>
      </c>
      <c r="D181" s="52"/>
      <c r="E181" s="17">
        <v>1</v>
      </c>
      <c r="F181" s="17">
        <v>1</v>
      </c>
      <c r="G181" s="17">
        <v>1</v>
      </c>
      <c r="H181" s="16"/>
      <c r="I181" s="17">
        <v>1</v>
      </c>
      <c r="J181" s="17">
        <v>0</v>
      </c>
      <c r="K181" s="17"/>
      <c r="L181" s="17"/>
      <c r="M181" s="55"/>
    </row>
    <row r="182" spans="1:13" s="3" customFormat="1" ht="17.100000000000001" customHeight="1" x14ac:dyDescent="0.2">
      <c r="A182" s="15"/>
      <c r="B182" s="48"/>
      <c r="C182" s="32" t="s">
        <v>97</v>
      </c>
      <c r="D182" s="52"/>
      <c r="E182" s="17">
        <v>1</v>
      </c>
      <c r="F182" s="17">
        <v>2</v>
      </c>
      <c r="G182" s="17">
        <v>2</v>
      </c>
      <c r="H182" s="16"/>
      <c r="I182" s="17">
        <v>1</v>
      </c>
      <c r="J182" s="17">
        <v>0</v>
      </c>
      <c r="K182" s="17"/>
      <c r="L182" s="17"/>
      <c r="M182" s="55"/>
    </row>
    <row r="183" spans="1:13" s="3" customFormat="1" ht="17.100000000000001" customHeight="1" x14ac:dyDescent="0.2">
      <c r="A183" s="15"/>
      <c r="B183" s="48"/>
      <c r="C183" s="32" t="s">
        <v>97</v>
      </c>
      <c r="D183" s="52"/>
      <c r="E183" s="17">
        <v>1</v>
      </c>
      <c r="F183" s="17">
        <v>3</v>
      </c>
      <c r="G183" s="17">
        <v>3</v>
      </c>
      <c r="H183" s="16"/>
      <c r="I183" s="17">
        <v>1</v>
      </c>
      <c r="J183" s="17">
        <v>0</v>
      </c>
      <c r="K183" s="17"/>
      <c r="L183" s="17"/>
      <c r="M183" s="55"/>
    </row>
    <row r="184" spans="1:13" s="3" customFormat="1" ht="17.100000000000001" customHeight="1" x14ac:dyDescent="0.2">
      <c r="A184" s="15"/>
      <c r="B184" s="48"/>
      <c r="C184" s="34" t="s">
        <v>236</v>
      </c>
      <c r="D184" s="52"/>
      <c r="E184" s="17">
        <v>1</v>
      </c>
      <c r="F184" s="17">
        <v>4</v>
      </c>
      <c r="G184" s="17">
        <v>4</v>
      </c>
      <c r="H184" s="32" t="s">
        <v>198</v>
      </c>
      <c r="I184" s="17">
        <v>1</v>
      </c>
      <c r="J184" s="17">
        <v>0</v>
      </c>
      <c r="K184" s="17"/>
      <c r="L184" s="17"/>
      <c r="M184" s="55"/>
    </row>
    <row r="185" spans="1:13" s="3" customFormat="1" ht="17.100000000000001" customHeight="1" x14ac:dyDescent="0.2">
      <c r="A185" s="15"/>
      <c r="B185" s="48"/>
      <c r="C185" s="32" t="s">
        <v>97</v>
      </c>
      <c r="D185" s="52"/>
      <c r="E185" s="17">
        <v>1</v>
      </c>
      <c r="F185" s="17">
        <v>5</v>
      </c>
      <c r="G185" s="17">
        <v>5</v>
      </c>
      <c r="H185" s="16"/>
      <c r="I185" s="17">
        <v>1</v>
      </c>
      <c r="J185" s="17">
        <v>0</v>
      </c>
      <c r="K185" s="17"/>
      <c r="L185" s="17"/>
      <c r="M185" s="55"/>
    </row>
    <row r="186" spans="1:13" s="3" customFormat="1" ht="17.100000000000001" customHeight="1" x14ac:dyDescent="0.2">
      <c r="A186" s="15"/>
      <c r="B186" s="48"/>
      <c r="C186" s="32" t="s">
        <v>97</v>
      </c>
      <c r="D186" s="52"/>
      <c r="E186" s="17">
        <v>1</v>
      </c>
      <c r="F186" s="17">
        <v>6</v>
      </c>
      <c r="G186" s="17">
        <v>6</v>
      </c>
      <c r="H186" s="16"/>
      <c r="I186" s="17">
        <v>1</v>
      </c>
      <c r="J186" s="17">
        <v>0</v>
      </c>
      <c r="K186" s="17"/>
      <c r="L186" s="17"/>
      <c r="M186" s="55"/>
    </row>
    <row r="187" spans="1:13" s="3" customFormat="1" ht="17.100000000000001" customHeight="1" x14ac:dyDescent="0.2">
      <c r="A187" s="15"/>
      <c r="B187" s="48"/>
      <c r="C187" s="32" t="s">
        <v>97</v>
      </c>
      <c r="D187" s="53"/>
      <c r="E187" s="17">
        <v>1</v>
      </c>
      <c r="F187" s="17">
        <v>7</v>
      </c>
      <c r="G187" s="17">
        <v>7</v>
      </c>
      <c r="H187" s="16"/>
      <c r="I187" s="17">
        <v>1</v>
      </c>
      <c r="J187" s="17">
        <v>0</v>
      </c>
      <c r="K187" s="17"/>
      <c r="L187" s="17"/>
      <c r="M187" s="56"/>
    </row>
    <row r="188" spans="1:13" s="2" customFormat="1" ht="17.100000000000001" customHeight="1" x14ac:dyDescent="0.2">
      <c r="A188" s="15"/>
      <c r="B188" s="48"/>
      <c r="C188" s="32" t="s">
        <v>97</v>
      </c>
      <c r="D188" s="51">
        <f>MAX($D$6:D180)+1</f>
        <v>129</v>
      </c>
      <c r="E188" s="17">
        <v>2</v>
      </c>
      <c r="F188" s="17">
        <v>0</v>
      </c>
      <c r="G188" s="17">
        <v>1</v>
      </c>
      <c r="H188" s="16"/>
      <c r="I188" s="17">
        <v>1</v>
      </c>
      <c r="J188" s="17">
        <v>0</v>
      </c>
      <c r="K188" s="17"/>
      <c r="L188" s="17"/>
      <c r="M188" s="18" t="s">
        <v>232</v>
      </c>
    </row>
    <row r="189" spans="1:13" s="3" customFormat="1" ht="17.100000000000001" customHeight="1" x14ac:dyDescent="0.2">
      <c r="A189" s="15"/>
      <c r="B189" s="48"/>
      <c r="C189" s="32" t="s">
        <v>97</v>
      </c>
      <c r="D189" s="52"/>
      <c r="E189" s="17">
        <v>2</v>
      </c>
      <c r="F189" s="25">
        <v>2</v>
      </c>
      <c r="G189" s="25">
        <v>3</v>
      </c>
      <c r="H189" s="16"/>
      <c r="I189" s="17">
        <v>1</v>
      </c>
      <c r="J189" s="17">
        <v>0</v>
      </c>
      <c r="K189" s="17"/>
      <c r="L189" s="17"/>
      <c r="M189" s="18" t="s">
        <v>232</v>
      </c>
    </row>
    <row r="190" spans="1:13" s="3" customFormat="1" ht="17.100000000000001" customHeight="1" x14ac:dyDescent="0.2">
      <c r="A190" s="15"/>
      <c r="B190" s="48"/>
      <c r="C190" s="32" t="s">
        <v>97</v>
      </c>
      <c r="D190" s="52"/>
      <c r="E190" s="17">
        <v>2</v>
      </c>
      <c r="F190" s="17">
        <v>4</v>
      </c>
      <c r="G190" s="17">
        <v>5</v>
      </c>
      <c r="H190" s="16"/>
      <c r="I190" s="17">
        <v>1</v>
      </c>
      <c r="J190" s="17">
        <v>0</v>
      </c>
      <c r="K190" s="17"/>
      <c r="L190" s="17"/>
      <c r="M190" s="18" t="s">
        <v>232</v>
      </c>
    </row>
    <row r="191" spans="1:13" s="3" customFormat="1" ht="17.100000000000001" customHeight="1" x14ac:dyDescent="0.2">
      <c r="A191" s="15"/>
      <c r="B191" s="48"/>
      <c r="C191" s="32" t="s">
        <v>97</v>
      </c>
      <c r="D191" s="53"/>
      <c r="E191" s="17">
        <v>2</v>
      </c>
      <c r="F191" s="25">
        <v>6</v>
      </c>
      <c r="G191" s="25">
        <v>7</v>
      </c>
      <c r="H191" s="16"/>
      <c r="I191" s="17">
        <v>1</v>
      </c>
      <c r="J191" s="17">
        <v>0</v>
      </c>
      <c r="K191" s="17"/>
      <c r="L191" s="17"/>
      <c r="M191" s="18" t="s">
        <v>232</v>
      </c>
    </row>
    <row r="192" spans="1:13" s="3" customFormat="1" ht="17.100000000000001" customHeight="1" x14ac:dyDescent="0.2">
      <c r="A192" s="15"/>
      <c r="B192" s="48"/>
      <c r="C192" s="32" t="s">
        <v>97</v>
      </c>
      <c r="D192" s="51">
        <f>MAX($D$6:D188)+1</f>
        <v>130</v>
      </c>
      <c r="E192" s="17">
        <v>2</v>
      </c>
      <c r="F192" s="17">
        <v>0</v>
      </c>
      <c r="G192" s="17">
        <v>1</v>
      </c>
      <c r="H192" s="16"/>
      <c r="I192" s="17">
        <v>1</v>
      </c>
      <c r="J192" s="17">
        <v>0</v>
      </c>
      <c r="K192" s="17"/>
      <c r="L192" s="17"/>
      <c r="M192" s="18" t="s">
        <v>232</v>
      </c>
    </row>
    <row r="193" spans="1:13" s="2" customFormat="1" ht="17.100000000000001" customHeight="1" x14ac:dyDescent="0.2">
      <c r="A193" s="15"/>
      <c r="B193" s="48"/>
      <c r="C193" s="32" t="s">
        <v>97</v>
      </c>
      <c r="D193" s="52"/>
      <c r="E193" s="17">
        <v>2</v>
      </c>
      <c r="F193" s="17">
        <v>2</v>
      </c>
      <c r="G193" s="17">
        <v>3</v>
      </c>
      <c r="H193" s="16"/>
      <c r="I193" s="17">
        <v>1</v>
      </c>
      <c r="J193" s="17">
        <v>0</v>
      </c>
      <c r="K193" s="17"/>
      <c r="L193" s="17"/>
      <c r="M193" s="18" t="s">
        <v>232</v>
      </c>
    </row>
    <row r="194" spans="1:13" s="3" customFormat="1" ht="15.75" customHeight="1" x14ac:dyDescent="0.2">
      <c r="A194" s="15"/>
      <c r="B194" s="48"/>
      <c r="C194" s="32" t="s">
        <v>97</v>
      </c>
      <c r="D194" s="52"/>
      <c r="E194" s="17">
        <v>1</v>
      </c>
      <c r="F194" s="17">
        <v>4</v>
      </c>
      <c r="G194" s="17">
        <v>4</v>
      </c>
      <c r="H194" s="16"/>
      <c r="I194" s="17">
        <v>1</v>
      </c>
      <c r="J194" s="17">
        <v>0</v>
      </c>
      <c r="K194" s="17"/>
      <c r="L194" s="17"/>
      <c r="M194" s="18" t="s">
        <v>232</v>
      </c>
    </row>
    <row r="195" spans="1:13" s="3" customFormat="1" ht="17.100000000000001" customHeight="1" x14ac:dyDescent="0.2">
      <c r="A195" s="15"/>
      <c r="B195" s="48"/>
      <c r="C195" s="32" t="s">
        <v>97</v>
      </c>
      <c r="D195" s="52"/>
      <c r="E195" s="17">
        <v>1</v>
      </c>
      <c r="F195" s="17">
        <v>5</v>
      </c>
      <c r="G195" s="17">
        <v>5</v>
      </c>
      <c r="H195" s="16"/>
      <c r="I195" s="17">
        <v>1</v>
      </c>
      <c r="J195" s="17">
        <v>0</v>
      </c>
      <c r="K195" s="17"/>
      <c r="L195" s="17"/>
      <c r="M195" s="18"/>
    </row>
    <row r="196" spans="1:13" s="3" customFormat="1" ht="17.100000000000001" customHeight="1" x14ac:dyDescent="0.2">
      <c r="A196" s="15"/>
      <c r="B196" s="48"/>
      <c r="C196" s="32" t="s">
        <v>97</v>
      </c>
      <c r="D196" s="53"/>
      <c r="E196" s="17">
        <v>2</v>
      </c>
      <c r="F196" s="17">
        <v>6</v>
      </c>
      <c r="G196" s="17">
        <v>7</v>
      </c>
      <c r="H196" s="16"/>
      <c r="I196" s="17">
        <v>1</v>
      </c>
      <c r="J196" s="17">
        <v>0</v>
      </c>
      <c r="K196" s="17"/>
      <c r="L196" s="17"/>
      <c r="M196" s="18" t="s">
        <v>232</v>
      </c>
    </row>
    <row r="197" spans="1:13" s="3" customFormat="1" ht="17.100000000000001" customHeight="1" x14ac:dyDescent="0.2">
      <c r="A197" s="15"/>
      <c r="B197" s="48"/>
      <c r="C197" s="32" t="s">
        <v>97</v>
      </c>
      <c r="D197" s="51">
        <f>MAX($D$6:D192)+1</f>
        <v>131</v>
      </c>
      <c r="E197" s="17">
        <v>1</v>
      </c>
      <c r="F197" s="17">
        <v>0</v>
      </c>
      <c r="G197" s="17">
        <v>0</v>
      </c>
      <c r="H197" s="16"/>
      <c r="I197" s="17">
        <v>1</v>
      </c>
      <c r="J197" s="17">
        <v>0</v>
      </c>
      <c r="K197" s="17"/>
      <c r="L197" s="17"/>
      <c r="M197" s="18"/>
    </row>
    <row r="198" spans="1:13" s="3" customFormat="1" ht="17.100000000000001" customHeight="1" x14ac:dyDescent="0.2">
      <c r="A198" s="15"/>
      <c r="B198" s="48"/>
      <c r="C198" s="32" t="s">
        <v>97</v>
      </c>
      <c r="D198" s="52"/>
      <c r="E198" s="17">
        <v>1</v>
      </c>
      <c r="F198" s="17">
        <v>1</v>
      </c>
      <c r="G198" s="17">
        <v>1</v>
      </c>
      <c r="H198" s="16"/>
      <c r="I198" s="17">
        <v>1</v>
      </c>
      <c r="J198" s="17">
        <v>0</v>
      </c>
      <c r="K198" s="17"/>
      <c r="L198" s="17"/>
      <c r="M198" s="18"/>
    </row>
    <row r="199" spans="1:13" s="3" customFormat="1" ht="17.100000000000001" customHeight="1" x14ac:dyDescent="0.2">
      <c r="A199" s="15"/>
      <c r="B199" s="48"/>
      <c r="C199" s="32" t="s">
        <v>97</v>
      </c>
      <c r="D199" s="52"/>
      <c r="E199" s="17">
        <v>2</v>
      </c>
      <c r="F199" s="17">
        <v>2</v>
      </c>
      <c r="G199" s="17">
        <v>3</v>
      </c>
      <c r="H199" s="16"/>
      <c r="I199" s="17">
        <v>1</v>
      </c>
      <c r="J199" s="17">
        <v>0</v>
      </c>
      <c r="K199" s="17"/>
      <c r="L199" s="17"/>
      <c r="M199" s="18"/>
    </row>
    <row r="200" spans="1:13" s="3" customFormat="1" ht="17.100000000000001" customHeight="1" x14ac:dyDescent="0.2">
      <c r="A200" s="15"/>
      <c r="B200" s="48"/>
      <c r="C200" s="32" t="s">
        <v>97</v>
      </c>
      <c r="D200" s="52"/>
      <c r="E200" s="17">
        <v>2</v>
      </c>
      <c r="F200" s="17">
        <v>4</v>
      </c>
      <c r="G200" s="17">
        <v>5</v>
      </c>
      <c r="H200" s="16"/>
      <c r="I200" s="17">
        <v>1</v>
      </c>
      <c r="J200" s="17">
        <v>0</v>
      </c>
      <c r="K200" s="17"/>
      <c r="L200" s="17"/>
      <c r="M200" s="18"/>
    </row>
    <row r="201" spans="1:13" s="3" customFormat="1" ht="17.100000000000001" customHeight="1" x14ac:dyDescent="0.2">
      <c r="A201" s="15"/>
      <c r="B201" s="48"/>
      <c r="C201" s="32" t="s">
        <v>97</v>
      </c>
      <c r="D201" s="53"/>
      <c r="E201" s="17">
        <v>2</v>
      </c>
      <c r="F201" s="17">
        <v>6</v>
      </c>
      <c r="G201" s="17">
        <v>7</v>
      </c>
      <c r="H201" s="16"/>
      <c r="I201" s="17">
        <v>1</v>
      </c>
      <c r="J201" s="17">
        <v>0</v>
      </c>
      <c r="K201" s="17"/>
      <c r="L201" s="17"/>
      <c r="M201" s="18"/>
    </row>
    <row r="202" spans="1:13" s="3" customFormat="1" ht="17.100000000000001" customHeight="1" x14ac:dyDescent="0.2">
      <c r="A202" s="15"/>
      <c r="B202" s="48"/>
      <c r="C202" s="32" t="s">
        <v>97</v>
      </c>
      <c r="D202" s="51">
        <f>MAX($D$6:D197)+1</f>
        <v>132</v>
      </c>
      <c r="E202" s="17">
        <v>2</v>
      </c>
      <c r="F202" s="17">
        <v>0</v>
      </c>
      <c r="G202" s="17">
        <v>1</v>
      </c>
      <c r="H202" s="16"/>
      <c r="I202" s="17">
        <v>1</v>
      </c>
      <c r="J202" s="17">
        <v>0</v>
      </c>
      <c r="K202" s="17"/>
      <c r="L202" s="17"/>
      <c r="M202" s="18"/>
    </row>
    <row r="203" spans="1:13" s="3" customFormat="1" ht="17.100000000000001" customHeight="1" x14ac:dyDescent="0.2">
      <c r="A203" s="15"/>
      <c r="B203" s="48"/>
      <c r="C203" s="32" t="s">
        <v>97</v>
      </c>
      <c r="D203" s="52"/>
      <c r="E203" s="17">
        <v>1</v>
      </c>
      <c r="F203" s="17">
        <v>2</v>
      </c>
      <c r="G203" s="17">
        <v>2</v>
      </c>
      <c r="H203" s="16"/>
      <c r="I203" s="17">
        <v>1</v>
      </c>
      <c r="J203" s="17">
        <v>0</v>
      </c>
      <c r="K203" s="17"/>
      <c r="L203" s="17"/>
      <c r="M203" s="18"/>
    </row>
    <row r="204" spans="1:13" s="3" customFormat="1" ht="17.100000000000001" customHeight="1" x14ac:dyDescent="0.2">
      <c r="A204" s="15"/>
      <c r="B204" s="48"/>
      <c r="C204" s="32" t="s">
        <v>97</v>
      </c>
      <c r="D204" s="53"/>
      <c r="E204" s="17">
        <v>1</v>
      </c>
      <c r="F204" s="17">
        <v>3</v>
      </c>
      <c r="G204" s="17">
        <v>3</v>
      </c>
      <c r="H204" s="16"/>
      <c r="I204" s="17">
        <v>1</v>
      </c>
      <c r="J204" s="17">
        <v>0</v>
      </c>
      <c r="K204" s="17"/>
      <c r="L204" s="17"/>
      <c r="M204" s="18"/>
    </row>
    <row r="205" spans="1:13" s="2" customFormat="1" ht="17.100000000000001" customHeight="1" x14ac:dyDescent="0.2">
      <c r="A205" s="46" t="s">
        <v>97</v>
      </c>
      <c r="B205" s="48"/>
      <c r="C205" s="32" t="s">
        <v>233</v>
      </c>
      <c r="D205" s="17"/>
      <c r="E205" s="17"/>
      <c r="F205" s="17"/>
      <c r="G205" s="17"/>
      <c r="H205" s="17"/>
      <c r="I205" s="17"/>
      <c r="J205" s="17"/>
      <c r="K205" s="17"/>
      <c r="L205" s="17"/>
      <c r="M205" s="18"/>
    </row>
    <row r="206" spans="1:13" s="2" customFormat="1" ht="17.100000000000001" customHeight="1" x14ac:dyDescent="0.2">
      <c r="A206" s="46"/>
      <c r="B206" s="48"/>
      <c r="C206" s="32" t="s">
        <v>233</v>
      </c>
      <c r="D206" s="17"/>
      <c r="E206" s="17"/>
      <c r="F206" s="17"/>
      <c r="G206" s="17"/>
      <c r="H206" s="17"/>
      <c r="I206" s="17"/>
      <c r="J206" s="17"/>
      <c r="K206" s="17"/>
      <c r="L206" s="17"/>
      <c r="M206" s="18"/>
    </row>
    <row r="207" spans="1:13" s="2" customFormat="1" ht="17.100000000000001" customHeight="1" x14ac:dyDescent="0.2">
      <c r="A207" s="46"/>
      <c r="B207" s="48"/>
      <c r="C207" s="32" t="s">
        <v>233</v>
      </c>
      <c r="D207" s="17"/>
      <c r="E207" s="17"/>
      <c r="F207" s="17"/>
      <c r="G207" s="17"/>
      <c r="H207" s="26"/>
      <c r="I207" s="27"/>
      <c r="J207" s="27"/>
      <c r="K207" s="27"/>
      <c r="L207" s="27"/>
      <c r="M207" s="18"/>
    </row>
    <row r="208" spans="1:13" s="2" customFormat="1" ht="17.100000000000001" customHeight="1" x14ac:dyDescent="0.2">
      <c r="A208" s="46"/>
      <c r="B208" s="49"/>
      <c r="C208" s="32" t="s">
        <v>233</v>
      </c>
      <c r="D208" s="17"/>
      <c r="E208" s="17"/>
      <c r="F208" s="17"/>
      <c r="G208" s="17"/>
      <c r="H208" s="26"/>
      <c r="I208" s="27"/>
      <c r="J208" s="27"/>
      <c r="K208" s="27"/>
      <c r="L208" s="27"/>
      <c r="M208" s="18"/>
    </row>
    <row r="209" spans="14:14" x14ac:dyDescent="0.2">
      <c r="N209" s="28"/>
    </row>
    <row r="210" spans="14:14" x14ac:dyDescent="0.2">
      <c r="N210" s="5"/>
    </row>
    <row r="211" spans="14:14" x14ac:dyDescent="0.2">
      <c r="N211" s="5"/>
    </row>
    <row r="212" spans="14:14" x14ac:dyDescent="0.2">
      <c r="N212" s="5"/>
    </row>
    <row r="213" spans="14:14" x14ac:dyDescent="0.2">
      <c r="N213" s="28"/>
    </row>
    <row r="214" spans="14:14" x14ac:dyDescent="0.2">
      <c r="N214" s="28"/>
    </row>
    <row r="215" spans="14:14" x14ac:dyDescent="0.2">
      <c r="N215" s="5"/>
    </row>
    <row r="216" spans="14:14" x14ac:dyDescent="0.2">
      <c r="N216" s="29"/>
    </row>
    <row r="219" spans="14:14" x14ac:dyDescent="0.2">
      <c r="N219" s="30"/>
    </row>
  </sheetData>
  <mergeCells count="55">
    <mergeCell ref="D202:D204"/>
    <mergeCell ref="M8:M11"/>
    <mergeCell ref="M18:M21"/>
    <mergeCell ref="M29:M34"/>
    <mergeCell ref="M111:M114"/>
    <mergeCell ref="M115:M121"/>
    <mergeCell ref="M122:M126"/>
    <mergeCell ref="M128:M131"/>
    <mergeCell ref="M132:M135"/>
    <mergeCell ref="M136:M139"/>
    <mergeCell ref="M140:M143"/>
    <mergeCell ref="M144:M147"/>
    <mergeCell ref="M148:M155"/>
    <mergeCell ref="M156:M163"/>
    <mergeCell ref="M164:M167"/>
    <mergeCell ref="M168:M171"/>
    <mergeCell ref="D176:D179"/>
    <mergeCell ref="D180:D187"/>
    <mergeCell ref="M172:M175"/>
    <mergeCell ref="M176:M179"/>
    <mergeCell ref="M180:M187"/>
    <mergeCell ref="D188:D191"/>
    <mergeCell ref="D192:D196"/>
    <mergeCell ref="D197:D201"/>
    <mergeCell ref="D148:D155"/>
    <mergeCell ref="D156:D163"/>
    <mergeCell ref="D164:D167"/>
    <mergeCell ref="D168:D171"/>
    <mergeCell ref="D172:D175"/>
    <mergeCell ref="A205:A208"/>
    <mergeCell ref="B2:B5"/>
    <mergeCell ref="B6:B15"/>
    <mergeCell ref="B16:B208"/>
    <mergeCell ref="D3:D5"/>
    <mergeCell ref="D8:D11"/>
    <mergeCell ref="D18:D21"/>
    <mergeCell ref="D29:D34"/>
    <mergeCell ref="D111:D114"/>
    <mergeCell ref="D115:D121"/>
    <mergeCell ref="D122:D126"/>
    <mergeCell ref="D128:D131"/>
    <mergeCell ref="D132:D135"/>
    <mergeCell ref="D136:D139"/>
    <mergeCell ref="D140:D143"/>
    <mergeCell ref="D144:D147"/>
    <mergeCell ref="A43:A50"/>
    <mergeCell ref="A51:A80"/>
    <mergeCell ref="A81:A110"/>
    <mergeCell ref="A111:A143"/>
    <mergeCell ref="A144:A159"/>
    <mergeCell ref="A2:A5"/>
    <mergeCell ref="A6:A15"/>
    <mergeCell ref="A16:A28"/>
    <mergeCell ref="A29:A36"/>
    <mergeCell ref="A37:A42"/>
  </mergeCells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变更记录</vt:lpstr>
      <vt:lpstr>协议内容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ThinkPad</cp:lastModifiedBy>
  <dcterms:created xsi:type="dcterms:W3CDTF">2015-06-05T18:19:00Z</dcterms:created>
  <dcterms:modified xsi:type="dcterms:W3CDTF">2026-08-04T05:38:13Z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C000CAB3A0B84161B2A7378CD5DBAB06_13</vt:lpwstr>
  </property>
  <property fmtid="{D5CDD505-2E9C-101B-9397-08002B2CF9AE}" pid="4" name="CalculationRule">
    <vt:i4>0</vt:i4>
  </property>
</Properties>
</file>