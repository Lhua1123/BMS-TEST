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E:\BaiduSyncdisk\BMS\document\05.ASW\00.通用\"/>
    </mc:Choice>
  </mc:AlternateContent>
  <xr:revisionPtr revIDLastSave="0" documentId="13_ncr:1_{32814A52-53BB-4BE4-97F3-25D2D4BFC1E0}" xr6:coauthVersionLast="36" xr6:coauthVersionMax="36" xr10:uidLastSave="{00000000-0000-0000-0000-000000000000}"/>
  <bookViews>
    <workbookView xWindow="0" yWindow="0" windowWidth="22260" windowHeight="12648" activeTab="1" xr2:uid="{00000000-000D-0000-FFFF-FFFF00000000}"/>
  </bookViews>
  <sheets>
    <sheet name="3.BICU-NVMC" sheetId="8" r:id="rId1"/>
    <sheet name="2.BCMU-NVMC" sheetId="3" r:id="rId2"/>
    <sheet name="2.按PID大小排序" sheetId="6" r:id="rId3"/>
    <sheet name="2.BCMU告警等级" sheetId="7" r:id="rId4"/>
    <sheet name="Sheet2" sheetId="5"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4" i="6" l="1"/>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C55" i="6" s="1"/>
  <c r="B30" i="6"/>
  <c r="C54" i="3" l="1"/>
  <c r="B54" i="3"/>
  <c r="A54" i="3"/>
  <c r="C53" i="3"/>
  <c r="B53" i="3"/>
  <c r="A53" i="3"/>
  <c r="C52" i="3"/>
  <c r="B52" i="3"/>
  <c r="A52" i="3"/>
  <c r="C51" i="3"/>
  <c r="B51" i="3"/>
  <c r="A51" i="3"/>
  <c r="C50" i="3"/>
  <c r="B50" i="3"/>
  <c r="A50" i="3"/>
  <c r="C49" i="3"/>
  <c r="B49" i="3"/>
  <c r="A49" i="3"/>
  <c r="C48" i="3"/>
  <c r="B48" i="3"/>
  <c r="A48" i="3"/>
  <c r="C47" i="3"/>
  <c r="B47" i="3"/>
  <c r="A47" i="3"/>
  <c r="C46" i="3"/>
  <c r="B46" i="3"/>
  <c r="A46" i="3"/>
  <c r="C45" i="3"/>
  <c r="B45" i="3"/>
  <c r="A45" i="3"/>
  <c r="C44" i="3"/>
  <c r="B44" i="3"/>
  <c r="A44" i="3"/>
  <c r="C43" i="3"/>
  <c r="B43" i="3"/>
  <c r="A43" i="3"/>
  <c r="C42" i="3"/>
  <c r="B42" i="3"/>
  <c r="A42" i="3"/>
  <c r="C41" i="3"/>
  <c r="B41" i="3"/>
  <c r="A41" i="3"/>
  <c r="C40" i="3"/>
  <c r="B40" i="3"/>
  <c r="A40" i="3"/>
  <c r="C39" i="3"/>
  <c r="B39" i="3"/>
  <c r="A39" i="3"/>
  <c r="C38" i="3"/>
  <c r="B38" i="3"/>
  <c r="A38" i="3"/>
  <c r="C37" i="3"/>
  <c r="B37" i="3"/>
  <c r="A37" i="3"/>
  <c r="C36" i="3"/>
  <c r="B36" i="3"/>
  <c r="A36" i="3"/>
  <c r="C35" i="3"/>
  <c r="B35" i="3"/>
  <c r="A35" i="3"/>
  <c r="C34" i="3"/>
  <c r="B34" i="3"/>
  <c r="A34" i="3"/>
  <c r="C33" i="3"/>
  <c r="B33" i="3"/>
  <c r="A33" i="3"/>
  <c r="C32" i="3"/>
  <c r="B32" i="3"/>
  <c r="A32" i="3"/>
  <c r="C31" i="3"/>
  <c r="B31" i="3"/>
  <c r="A31" i="3"/>
  <c r="C30" i="3"/>
  <c r="C55" i="3" s="1"/>
  <c r="B30" i="3"/>
  <c r="A30" i="3"/>
  <c r="M12" i="8" l="1"/>
  <c r="M11" i="8"/>
  <c r="M3" i="8"/>
  <c r="M6" i="8"/>
  <c r="M5" i="8"/>
  <c r="AF27" i="6" l="1"/>
  <c r="X27" i="6"/>
  <c r="AE26" i="6"/>
  <c r="AL25" i="6"/>
  <c r="AD25" i="6"/>
  <c r="AK24" i="6"/>
  <c r="AJ23" i="6"/>
  <c r="AB23" i="6"/>
  <c r="AI22" i="6"/>
  <c r="AH21" i="6"/>
  <c r="AG20" i="6"/>
  <c r="Y20" i="6"/>
  <c r="AF19" i="6"/>
  <c r="X19" i="6"/>
  <c r="AE18" i="6"/>
  <c r="AL17" i="6"/>
  <c r="AD17" i="6"/>
  <c r="AK16" i="6"/>
  <c r="AJ15" i="6"/>
  <c r="AB15" i="6"/>
  <c r="AI14" i="6"/>
  <c r="AA14" i="6"/>
  <c r="AH13" i="6"/>
  <c r="AG12" i="6"/>
  <c r="Y12" i="6"/>
  <c r="X11" i="6"/>
  <c r="AE10" i="6"/>
  <c r="AL9" i="6"/>
  <c r="AD9" i="6"/>
  <c r="AK8" i="6"/>
  <c r="AB8" i="6"/>
  <c r="AI7" i="6"/>
  <c r="AA7" i="6"/>
  <c r="AH6" i="6"/>
  <c r="Z6" i="6"/>
  <c r="AG5" i="6"/>
  <c r="Y5" i="6"/>
  <c r="AF4" i="6"/>
  <c r="X4" i="6"/>
  <c r="AE3" i="6"/>
  <c r="A1" i="6"/>
  <c r="B4" i="6"/>
  <c r="C4" i="6"/>
  <c r="D4" i="6"/>
  <c r="V4" i="6" s="1"/>
  <c r="E4" i="6"/>
  <c r="W4" i="6" s="1"/>
  <c r="F4" i="6"/>
  <c r="Y4" i="6" s="1"/>
  <c r="G4" i="6"/>
  <c r="AA4" i="6" s="1"/>
  <c r="H4" i="6"/>
  <c r="AB4" i="6" s="1"/>
  <c r="I4" i="6"/>
  <c r="AD4" i="6" s="1"/>
  <c r="J4" i="6"/>
  <c r="AE4" i="6" s="1"/>
  <c r="K4" i="6"/>
  <c r="AG4" i="6" s="1"/>
  <c r="L4" i="6"/>
  <c r="AI4" i="6" s="1"/>
  <c r="M4" i="6"/>
  <c r="AK4" i="6" s="1"/>
  <c r="N4" i="6"/>
  <c r="AL4" i="6" s="1"/>
  <c r="O4" i="6"/>
  <c r="P4" i="6"/>
  <c r="Q4" i="6"/>
  <c r="R4" i="6"/>
  <c r="S4" i="6"/>
  <c r="B5" i="6"/>
  <c r="C5" i="6"/>
  <c r="D5" i="6"/>
  <c r="V5" i="6" s="1"/>
  <c r="E5" i="6"/>
  <c r="W5" i="6" s="1"/>
  <c r="F5" i="6"/>
  <c r="X5" i="6" s="1"/>
  <c r="G5" i="6"/>
  <c r="AA5" i="6" s="1"/>
  <c r="H5" i="6"/>
  <c r="AB5" i="6" s="1"/>
  <c r="I5" i="6"/>
  <c r="AD5" i="6" s="1"/>
  <c r="J5" i="6"/>
  <c r="AE5" i="6" s="1"/>
  <c r="K5" i="6"/>
  <c r="L5" i="6"/>
  <c r="AI5" i="6" s="1"/>
  <c r="M5" i="6"/>
  <c r="AK5" i="6" s="1"/>
  <c r="N5" i="6"/>
  <c r="AL5" i="6" s="1"/>
  <c r="O5" i="6"/>
  <c r="P5" i="6"/>
  <c r="Q5" i="6"/>
  <c r="R5" i="6"/>
  <c r="S5" i="6"/>
  <c r="B6" i="6"/>
  <c r="C6" i="6"/>
  <c r="D6" i="6"/>
  <c r="V6" i="6" s="1"/>
  <c r="E6" i="6"/>
  <c r="W6" i="6" s="1"/>
  <c r="F6" i="6"/>
  <c r="X6" i="6" s="1"/>
  <c r="G6" i="6"/>
  <c r="AA6" i="6" s="1"/>
  <c r="H6" i="6"/>
  <c r="AB6" i="6" s="1"/>
  <c r="I6" i="6"/>
  <c r="AD6" i="6" s="1"/>
  <c r="J6" i="6"/>
  <c r="AF6" i="6" s="1"/>
  <c r="K6" i="6"/>
  <c r="AG6" i="6" s="1"/>
  <c r="L6" i="6"/>
  <c r="AI6" i="6" s="1"/>
  <c r="M6" i="6"/>
  <c r="AK6" i="6" s="1"/>
  <c r="N6" i="6"/>
  <c r="AL6" i="6" s="1"/>
  <c r="O6" i="6"/>
  <c r="P6" i="6"/>
  <c r="Q6" i="6"/>
  <c r="R6" i="6"/>
  <c r="S6" i="6"/>
  <c r="B7" i="6"/>
  <c r="C7" i="6"/>
  <c r="D7" i="6"/>
  <c r="V7" i="6" s="1"/>
  <c r="E7" i="6"/>
  <c r="W7" i="6" s="1"/>
  <c r="F7" i="6"/>
  <c r="Y7" i="6" s="1"/>
  <c r="G7" i="6"/>
  <c r="Z7" i="6" s="1"/>
  <c r="H7" i="6"/>
  <c r="AB7" i="6" s="1"/>
  <c r="I7" i="6"/>
  <c r="AD7" i="6" s="1"/>
  <c r="J7" i="6"/>
  <c r="AF7" i="6" s="1"/>
  <c r="K7" i="6"/>
  <c r="AG7" i="6" s="1"/>
  <c r="L7" i="6"/>
  <c r="AH7" i="6" s="1"/>
  <c r="M7" i="6"/>
  <c r="AK7" i="6" s="1"/>
  <c r="N7" i="6"/>
  <c r="AL7" i="6" s="1"/>
  <c r="O7" i="6"/>
  <c r="P7" i="6"/>
  <c r="Q7" i="6"/>
  <c r="R7" i="6"/>
  <c r="S7" i="6"/>
  <c r="B8" i="6"/>
  <c r="C8" i="6"/>
  <c r="D8" i="6"/>
  <c r="V8" i="6" s="1"/>
  <c r="E8" i="6"/>
  <c r="W8" i="6" s="1"/>
  <c r="F8" i="6"/>
  <c r="Y8" i="6" s="1"/>
  <c r="G8" i="6"/>
  <c r="Z8" i="6" s="1"/>
  <c r="H8" i="6"/>
  <c r="I8" i="6"/>
  <c r="AD8" i="6" s="1"/>
  <c r="J8" i="6"/>
  <c r="AF8" i="6" s="1"/>
  <c r="K8" i="6"/>
  <c r="AG8" i="6" s="1"/>
  <c r="L8" i="6"/>
  <c r="AI8" i="6" s="1"/>
  <c r="M8" i="6"/>
  <c r="AJ8" i="6" s="1"/>
  <c r="N8" i="6"/>
  <c r="AL8" i="6" s="1"/>
  <c r="O8" i="6"/>
  <c r="P8" i="6"/>
  <c r="Q8" i="6"/>
  <c r="R8" i="6"/>
  <c r="S8" i="6"/>
  <c r="B9" i="6"/>
  <c r="C9" i="6"/>
  <c r="D9" i="6"/>
  <c r="V9" i="6" s="1"/>
  <c r="E9" i="6"/>
  <c r="W9" i="6" s="1"/>
  <c r="F9" i="6"/>
  <c r="Y9" i="6" s="1"/>
  <c r="H9" i="6"/>
  <c r="AB9" i="6" s="1"/>
  <c r="I9" i="6"/>
  <c r="AC9" i="6" s="1"/>
  <c r="J9" i="6"/>
  <c r="AF9" i="6" s="1"/>
  <c r="K9" i="6"/>
  <c r="AG9" i="6" s="1"/>
  <c r="L9" i="6"/>
  <c r="AI9" i="6" s="1"/>
  <c r="M9" i="6"/>
  <c r="AJ9" i="6" s="1"/>
  <c r="N9" i="6"/>
  <c r="O9" i="6"/>
  <c r="P9" i="6"/>
  <c r="Q9" i="6"/>
  <c r="R9" i="6"/>
  <c r="S9" i="6"/>
  <c r="B10" i="6"/>
  <c r="C10" i="6"/>
  <c r="D10" i="6"/>
  <c r="V10" i="6" s="1"/>
  <c r="E10" i="6"/>
  <c r="W10" i="6" s="1"/>
  <c r="F10" i="6"/>
  <c r="Y10" i="6" s="1"/>
  <c r="G10" i="6"/>
  <c r="AA10" i="6" s="1"/>
  <c r="H10" i="6"/>
  <c r="AB10" i="6" s="1"/>
  <c r="I10" i="6"/>
  <c r="AC10" i="6" s="1"/>
  <c r="J10" i="6"/>
  <c r="AF10" i="6" s="1"/>
  <c r="K10" i="6"/>
  <c r="AG10" i="6" s="1"/>
  <c r="L10" i="6"/>
  <c r="AI10" i="6" s="1"/>
  <c r="M10" i="6"/>
  <c r="AK10" i="6" s="1"/>
  <c r="N10" i="6"/>
  <c r="AL10" i="6" s="1"/>
  <c r="O10" i="6"/>
  <c r="P10" i="6"/>
  <c r="Q10" i="6"/>
  <c r="R10" i="6"/>
  <c r="S10" i="6"/>
  <c r="B11" i="6"/>
  <c r="C11" i="6"/>
  <c r="D11" i="6"/>
  <c r="V11" i="6" s="1"/>
  <c r="E11" i="6"/>
  <c r="W11" i="6" s="1"/>
  <c r="F11" i="6"/>
  <c r="Y11" i="6" s="1"/>
  <c r="G11" i="6"/>
  <c r="AA11" i="6" s="1"/>
  <c r="H11" i="6"/>
  <c r="AB11" i="6" s="1"/>
  <c r="I11" i="6"/>
  <c r="AD11" i="6" s="1"/>
  <c r="J11" i="6"/>
  <c r="AE11" i="6" s="1"/>
  <c r="K11" i="6"/>
  <c r="AG11" i="6" s="1"/>
  <c r="L11" i="6"/>
  <c r="AI11" i="6" s="1"/>
  <c r="M11" i="6"/>
  <c r="AK11" i="6" s="1"/>
  <c r="N11" i="6"/>
  <c r="AL11" i="6" s="1"/>
  <c r="O11" i="6"/>
  <c r="P11" i="6"/>
  <c r="Q11" i="6"/>
  <c r="R11" i="6"/>
  <c r="S11" i="6"/>
  <c r="B12" i="6"/>
  <c r="C12" i="6"/>
  <c r="D12" i="6"/>
  <c r="V12" i="6" s="1"/>
  <c r="E12" i="6"/>
  <c r="W12" i="6" s="1"/>
  <c r="F12" i="6"/>
  <c r="X12" i="6" s="1"/>
  <c r="G12" i="6"/>
  <c r="AA12" i="6" s="1"/>
  <c r="H12" i="6"/>
  <c r="AB12" i="6" s="1"/>
  <c r="I12" i="6"/>
  <c r="AD12" i="6" s="1"/>
  <c r="J12" i="6"/>
  <c r="AE12" i="6" s="1"/>
  <c r="K12" i="6"/>
  <c r="L12" i="6"/>
  <c r="AI12" i="6" s="1"/>
  <c r="M12" i="6"/>
  <c r="AK12" i="6" s="1"/>
  <c r="N12" i="6"/>
  <c r="AL12" i="6" s="1"/>
  <c r="O12" i="6"/>
  <c r="P12" i="6"/>
  <c r="Q12" i="6"/>
  <c r="R12" i="6"/>
  <c r="S12" i="6"/>
  <c r="B13" i="6"/>
  <c r="C13" i="6"/>
  <c r="D13" i="6"/>
  <c r="V13" i="6" s="1"/>
  <c r="E13" i="6"/>
  <c r="W13" i="6" s="1"/>
  <c r="F13" i="6"/>
  <c r="X13" i="6" s="1"/>
  <c r="G13" i="6"/>
  <c r="AA13" i="6" s="1"/>
  <c r="H13" i="6"/>
  <c r="AB13" i="6" s="1"/>
  <c r="I13" i="6"/>
  <c r="AD13" i="6" s="1"/>
  <c r="J13" i="6"/>
  <c r="AF13" i="6" s="1"/>
  <c r="K13" i="6"/>
  <c r="AG13" i="6" s="1"/>
  <c r="L13" i="6"/>
  <c r="AI13" i="6" s="1"/>
  <c r="M13" i="6"/>
  <c r="AK13" i="6" s="1"/>
  <c r="N13" i="6"/>
  <c r="AL13" i="6" s="1"/>
  <c r="O13" i="6"/>
  <c r="P13" i="6"/>
  <c r="Q13" i="6"/>
  <c r="R13" i="6"/>
  <c r="S13" i="6"/>
  <c r="B14" i="6"/>
  <c r="C14" i="6"/>
  <c r="D14" i="6"/>
  <c r="V14" i="6" s="1"/>
  <c r="E14" i="6"/>
  <c r="W14" i="6" s="1"/>
  <c r="F14" i="6"/>
  <c r="Y14" i="6" s="1"/>
  <c r="G14" i="6"/>
  <c r="Z14" i="6" s="1"/>
  <c r="H14" i="6"/>
  <c r="AB14" i="6" s="1"/>
  <c r="I14" i="6"/>
  <c r="AD14" i="6" s="1"/>
  <c r="J14" i="6"/>
  <c r="AF14" i="6" s="1"/>
  <c r="K14" i="6"/>
  <c r="AG14" i="6" s="1"/>
  <c r="L14" i="6"/>
  <c r="AH14" i="6" s="1"/>
  <c r="M14" i="6"/>
  <c r="AK14" i="6" s="1"/>
  <c r="N14" i="6"/>
  <c r="AL14" i="6" s="1"/>
  <c r="O14" i="6"/>
  <c r="P14" i="6"/>
  <c r="Q14" i="6"/>
  <c r="R14" i="6"/>
  <c r="S14" i="6"/>
  <c r="B15" i="6"/>
  <c r="C15" i="6"/>
  <c r="D15" i="6"/>
  <c r="V15" i="6" s="1"/>
  <c r="E15" i="6"/>
  <c r="W15" i="6" s="1"/>
  <c r="F15" i="6"/>
  <c r="Y15" i="6" s="1"/>
  <c r="G15" i="6"/>
  <c r="Z15" i="6" s="1"/>
  <c r="H15" i="6"/>
  <c r="I15" i="6"/>
  <c r="AD15" i="6" s="1"/>
  <c r="J15" i="6"/>
  <c r="AF15" i="6" s="1"/>
  <c r="K15" i="6"/>
  <c r="AG15" i="6" s="1"/>
  <c r="L15" i="6"/>
  <c r="AH15" i="6" s="1"/>
  <c r="M15" i="6"/>
  <c r="AK15" i="6" s="1"/>
  <c r="N15" i="6"/>
  <c r="AL15" i="6" s="1"/>
  <c r="O15" i="6"/>
  <c r="P15" i="6"/>
  <c r="Q15" i="6"/>
  <c r="R15" i="6"/>
  <c r="S15" i="6"/>
  <c r="B16" i="6"/>
  <c r="C16" i="6"/>
  <c r="D16" i="6"/>
  <c r="V16" i="6" s="1"/>
  <c r="E16" i="6"/>
  <c r="W16" i="6" s="1"/>
  <c r="F16" i="6"/>
  <c r="Y16" i="6" s="1"/>
  <c r="G16" i="6"/>
  <c r="AA16" i="6" s="1"/>
  <c r="H16" i="6"/>
  <c r="AB16" i="6" s="1"/>
  <c r="I16" i="6"/>
  <c r="AC16" i="6" s="1"/>
  <c r="J16" i="6"/>
  <c r="AF16" i="6" s="1"/>
  <c r="K16" i="6"/>
  <c r="AG16" i="6" s="1"/>
  <c r="L16" i="6"/>
  <c r="AI16" i="6" s="1"/>
  <c r="M16" i="6"/>
  <c r="AJ16" i="6" s="1"/>
  <c r="N16" i="6"/>
  <c r="AL16" i="6" s="1"/>
  <c r="O16" i="6"/>
  <c r="P16" i="6"/>
  <c r="Q16" i="6"/>
  <c r="R16" i="6"/>
  <c r="S16" i="6"/>
  <c r="B17" i="6"/>
  <c r="C17" i="6"/>
  <c r="D17" i="6"/>
  <c r="V17" i="6" s="1"/>
  <c r="E17" i="6"/>
  <c r="W17" i="6" s="1"/>
  <c r="F17" i="6"/>
  <c r="Y17" i="6" s="1"/>
  <c r="G17" i="6"/>
  <c r="AA17" i="6" s="1"/>
  <c r="H17" i="6"/>
  <c r="AB17" i="6" s="1"/>
  <c r="I17" i="6"/>
  <c r="AC17" i="6" s="1"/>
  <c r="J17" i="6"/>
  <c r="AF17" i="6" s="1"/>
  <c r="K17" i="6"/>
  <c r="AG17" i="6" s="1"/>
  <c r="L17" i="6"/>
  <c r="AI17" i="6" s="1"/>
  <c r="M17" i="6"/>
  <c r="AJ17" i="6" s="1"/>
  <c r="N17" i="6"/>
  <c r="O17" i="6"/>
  <c r="P17" i="6"/>
  <c r="Q17" i="6"/>
  <c r="R17" i="6"/>
  <c r="S17" i="6"/>
  <c r="B18" i="6"/>
  <c r="C18" i="6"/>
  <c r="D18" i="6"/>
  <c r="V18" i="6" s="1"/>
  <c r="E18" i="6"/>
  <c r="W18" i="6" s="1"/>
  <c r="F18" i="6"/>
  <c r="Y18" i="6" s="1"/>
  <c r="G18" i="6"/>
  <c r="AA18" i="6" s="1"/>
  <c r="H18" i="6"/>
  <c r="AB18" i="6" s="1"/>
  <c r="I18" i="6"/>
  <c r="AC18" i="6" s="1"/>
  <c r="J18" i="6"/>
  <c r="AF18" i="6" s="1"/>
  <c r="K18" i="6"/>
  <c r="AG18" i="6" s="1"/>
  <c r="L18" i="6"/>
  <c r="AI18" i="6" s="1"/>
  <c r="M18" i="6"/>
  <c r="AK18" i="6" s="1"/>
  <c r="N18" i="6"/>
  <c r="AL18" i="6" s="1"/>
  <c r="O18" i="6"/>
  <c r="P18" i="6"/>
  <c r="Q18" i="6"/>
  <c r="R18" i="6"/>
  <c r="S18" i="6"/>
  <c r="B19" i="6"/>
  <c r="C19" i="6"/>
  <c r="D19" i="6"/>
  <c r="V19" i="6" s="1"/>
  <c r="E19" i="6"/>
  <c r="W19" i="6" s="1"/>
  <c r="F19" i="6"/>
  <c r="Y19" i="6" s="1"/>
  <c r="G19" i="6"/>
  <c r="AA19" i="6" s="1"/>
  <c r="H19" i="6"/>
  <c r="AB19" i="6" s="1"/>
  <c r="I19" i="6"/>
  <c r="AD19" i="6" s="1"/>
  <c r="J19" i="6"/>
  <c r="AE19" i="6" s="1"/>
  <c r="K19" i="6"/>
  <c r="AG19" i="6" s="1"/>
  <c r="L19" i="6"/>
  <c r="AI19" i="6" s="1"/>
  <c r="M19" i="6"/>
  <c r="AK19" i="6" s="1"/>
  <c r="N19" i="6"/>
  <c r="AL19" i="6" s="1"/>
  <c r="O19" i="6"/>
  <c r="P19" i="6"/>
  <c r="Q19" i="6"/>
  <c r="R19" i="6"/>
  <c r="S19" i="6"/>
  <c r="B20" i="6"/>
  <c r="C20" i="6"/>
  <c r="D20" i="6"/>
  <c r="V20" i="6" s="1"/>
  <c r="E20" i="6"/>
  <c r="W20" i="6" s="1"/>
  <c r="F20" i="6"/>
  <c r="X20" i="6" s="1"/>
  <c r="G20" i="6"/>
  <c r="AA20" i="6" s="1"/>
  <c r="H20" i="6"/>
  <c r="AB20" i="6" s="1"/>
  <c r="I20" i="6"/>
  <c r="AD20" i="6" s="1"/>
  <c r="J20" i="6"/>
  <c r="AE20" i="6" s="1"/>
  <c r="K20" i="6"/>
  <c r="L20" i="6"/>
  <c r="AI20" i="6" s="1"/>
  <c r="M20" i="6"/>
  <c r="AK20" i="6" s="1"/>
  <c r="N20" i="6"/>
  <c r="AL20" i="6" s="1"/>
  <c r="O20" i="6"/>
  <c r="P20" i="6"/>
  <c r="Q20" i="6"/>
  <c r="R20" i="6"/>
  <c r="S20" i="6"/>
  <c r="B21" i="6"/>
  <c r="C21" i="6"/>
  <c r="D21" i="6"/>
  <c r="V21" i="6" s="1"/>
  <c r="E21" i="6"/>
  <c r="W21" i="6" s="1"/>
  <c r="F21" i="6"/>
  <c r="X21" i="6" s="1"/>
  <c r="G21" i="6"/>
  <c r="AA21" i="6" s="1"/>
  <c r="H21" i="6"/>
  <c r="AB21" i="6" s="1"/>
  <c r="I21" i="6"/>
  <c r="AD21" i="6" s="1"/>
  <c r="J21" i="6"/>
  <c r="AF21" i="6" s="1"/>
  <c r="K21" i="6"/>
  <c r="AG21" i="6" s="1"/>
  <c r="L21" i="6"/>
  <c r="AI21" i="6" s="1"/>
  <c r="M21" i="6"/>
  <c r="AK21" i="6" s="1"/>
  <c r="N21" i="6"/>
  <c r="AL21" i="6" s="1"/>
  <c r="O21" i="6"/>
  <c r="P21" i="6"/>
  <c r="Q21" i="6"/>
  <c r="R21" i="6"/>
  <c r="S21" i="6"/>
  <c r="B22" i="6"/>
  <c r="C22" i="6"/>
  <c r="D22" i="6"/>
  <c r="V22" i="6" s="1"/>
  <c r="E22" i="6"/>
  <c r="W22" i="6" s="1"/>
  <c r="F22" i="6"/>
  <c r="Y22" i="6" s="1"/>
  <c r="H22" i="6"/>
  <c r="AB22" i="6" s="1"/>
  <c r="I22" i="6"/>
  <c r="AD22" i="6" s="1"/>
  <c r="J22" i="6"/>
  <c r="AF22" i="6" s="1"/>
  <c r="K22" i="6"/>
  <c r="AG22" i="6" s="1"/>
  <c r="L22" i="6"/>
  <c r="AH22" i="6" s="1"/>
  <c r="M22" i="6"/>
  <c r="AK22" i="6" s="1"/>
  <c r="N22" i="6"/>
  <c r="AL22" i="6" s="1"/>
  <c r="O22" i="6"/>
  <c r="P22" i="6"/>
  <c r="Q22" i="6"/>
  <c r="R22" i="6"/>
  <c r="S22" i="6"/>
  <c r="B23" i="6"/>
  <c r="C23" i="6"/>
  <c r="D23" i="6"/>
  <c r="V23" i="6" s="1"/>
  <c r="E23" i="6"/>
  <c r="W23" i="6" s="1"/>
  <c r="F23" i="6"/>
  <c r="Y23" i="6" s="1"/>
  <c r="G23" i="6"/>
  <c r="Z23" i="6" s="1"/>
  <c r="H23" i="6"/>
  <c r="I23" i="6"/>
  <c r="AD23" i="6" s="1"/>
  <c r="J23" i="6"/>
  <c r="AF23" i="6" s="1"/>
  <c r="K23" i="6"/>
  <c r="AG23" i="6" s="1"/>
  <c r="L23" i="6"/>
  <c r="AH23" i="6" s="1"/>
  <c r="M23" i="6"/>
  <c r="AK23" i="6" s="1"/>
  <c r="N23" i="6"/>
  <c r="AL23" i="6" s="1"/>
  <c r="O23" i="6"/>
  <c r="P23" i="6"/>
  <c r="Q23" i="6"/>
  <c r="R23" i="6"/>
  <c r="S23" i="6"/>
  <c r="B24" i="6"/>
  <c r="C24" i="6"/>
  <c r="D24" i="6"/>
  <c r="V24" i="6" s="1"/>
  <c r="E24" i="6"/>
  <c r="W24" i="6" s="1"/>
  <c r="F24" i="6"/>
  <c r="Y24" i="6" s="1"/>
  <c r="G24" i="6"/>
  <c r="AA24" i="6" s="1"/>
  <c r="H24" i="6"/>
  <c r="AB24" i="6" s="1"/>
  <c r="I24" i="6"/>
  <c r="AC24" i="6" s="1"/>
  <c r="J24" i="6"/>
  <c r="AF24" i="6" s="1"/>
  <c r="K24" i="6"/>
  <c r="AG24" i="6" s="1"/>
  <c r="L24" i="6"/>
  <c r="AI24" i="6" s="1"/>
  <c r="M24" i="6"/>
  <c r="AJ24" i="6" s="1"/>
  <c r="N24" i="6"/>
  <c r="AL24" i="6" s="1"/>
  <c r="O24" i="6"/>
  <c r="P24" i="6"/>
  <c r="Q24" i="6"/>
  <c r="R24" i="6"/>
  <c r="S24" i="6"/>
  <c r="B25" i="6"/>
  <c r="C25" i="6"/>
  <c r="D25" i="6"/>
  <c r="V25" i="6" s="1"/>
  <c r="E25" i="6"/>
  <c r="W25" i="6" s="1"/>
  <c r="F25" i="6"/>
  <c r="Y25" i="6" s="1"/>
  <c r="G25" i="6"/>
  <c r="AA25" i="6" s="1"/>
  <c r="H25" i="6"/>
  <c r="AB25" i="6" s="1"/>
  <c r="I25" i="6"/>
  <c r="AC25" i="6" s="1"/>
  <c r="J25" i="6"/>
  <c r="AF25" i="6" s="1"/>
  <c r="K25" i="6"/>
  <c r="AG25" i="6" s="1"/>
  <c r="L25" i="6"/>
  <c r="AI25" i="6" s="1"/>
  <c r="M25" i="6"/>
  <c r="AJ25" i="6" s="1"/>
  <c r="N25" i="6"/>
  <c r="O25" i="6"/>
  <c r="P25" i="6"/>
  <c r="Q25" i="6"/>
  <c r="R25" i="6"/>
  <c r="S25" i="6"/>
  <c r="B26" i="6"/>
  <c r="C26" i="6"/>
  <c r="D26" i="6"/>
  <c r="V26" i="6" s="1"/>
  <c r="E26" i="6"/>
  <c r="W26" i="6" s="1"/>
  <c r="F26" i="6"/>
  <c r="Y26" i="6" s="1"/>
  <c r="G26" i="6"/>
  <c r="AA26" i="6" s="1"/>
  <c r="H26" i="6"/>
  <c r="AB26" i="6" s="1"/>
  <c r="I26" i="6"/>
  <c r="AC26" i="6" s="1"/>
  <c r="J26" i="6"/>
  <c r="AF26" i="6" s="1"/>
  <c r="K26" i="6"/>
  <c r="AG26" i="6" s="1"/>
  <c r="L26" i="6"/>
  <c r="AI26" i="6" s="1"/>
  <c r="M26" i="6"/>
  <c r="AK26" i="6" s="1"/>
  <c r="N26" i="6"/>
  <c r="AL26" i="6" s="1"/>
  <c r="O26" i="6"/>
  <c r="P26" i="6"/>
  <c r="Q26" i="6"/>
  <c r="R26" i="6"/>
  <c r="S26" i="6"/>
  <c r="B27" i="6"/>
  <c r="C27" i="6"/>
  <c r="D27" i="6"/>
  <c r="V27" i="6" s="1"/>
  <c r="E27" i="6"/>
  <c r="W27" i="6" s="1"/>
  <c r="F27" i="6"/>
  <c r="Y27" i="6" s="1"/>
  <c r="G27" i="6"/>
  <c r="AA27" i="6" s="1"/>
  <c r="H27" i="6"/>
  <c r="AB27" i="6" s="1"/>
  <c r="I27" i="6"/>
  <c r="AD27" i="6" s="1"/>
  <c r="J27" i="6"/>
  <c r="AE27" i="6" s="1"/>
  <c r="K27" i="6"/>
  <c r="AG27" i="6" s="1"/>
  <c r="L27" i="6"/>
  <c r="AI27" i="6" s="1"/>
  <c r="M27" i="6"/>
  <c r="AK27" i="6" s="1"/>
  <c r="N27" i="6"/>
  <c r="AL27" i="6" s="1"/>
  <c r="O27" i="6"/>
  <c r="P27" i="6"/>
  <c r="Q27" i="6"/>
  <c r="R27" i="6"/>
  <c r="S27" i="6"/>
  <c r="A4" i="6"/>
  <c r="A31" i="6" s="1"/>
  <c r="A5" i="6"/>
  <c r="A32" i="6" s="1"/>
  <c r="A6" i="6"/>
  <c r="A33" i="6" s="1"/>
  <c r="A7" i="6"/>
  <c r="A34" i="6" s="1"/>
  <c r="A8" i="6"/>
  <c r="A35" i="6" s="1"/>
  <c r="A9" i="6"/>
  <c r="A36" i="6" s="1"/>
  <c r="A10" i="6"/>
  <c r="A37" i="6" s="1"/>
  <c r="A11" i="6"/>
  <c r="A38" i="6" s="1"/>
  <c r="A12" i="6"/>
  <c r="A39" i="6" s="1"/>
  <c r="A13" i="6"/>
  <c r="A40" i="6" s="1"/>
  <c r="A14" i="6"/>
  <c r="A41" i="6" s="1"/>
  <c r="A15" i="6"/>
  <c r="A42" i="6" s="1"/>
  <c r="A16" i="6"/>
  <c r="A43" i="6" s="1"/>
  <c r="A17" i="6"/>
  <c r="A44" i="6" s="1"/>
  <c r="A18" i="6"/>
  <c r="A45" i="6" s="1"/>
  <c r="A19" i="6"/>
  <c r="A46" i="6" s="1"/>
  <c r="A20" i="6"/>
  <c r="A47" i="6" s="1"/>
  <c r="A21" i="6"/>
  <c r="A48" i="6" s="1"/>
  <c r="A22" i="6"/>
  <c r="A49" i="6" s="1"/>
  <c r="A23" i="6"/>
  <c r="A50" i="6" s="1"/>
  <c r="A24" i="6"/>
  <c r="A51" i="6" s="1"/>
  <c r="A25" i="6"/>
  <c r="A52" i="6" s="1"/>
  <c r="A26" i="6"/>
  <c r="A53" i="6" s="1"/>
  <c r="A27" i="6"/>
  <c r="A54" i="6" s="1"/>
  <c r="B3" i="6"/>
  <c r="C3" i="6"/>
  <c r="D3" i="6"/>
  <c r="V3" i="6" s="1"/>
  <c r="E3" i="6"/>
  <c r="W3" i="6" s="1"/>
  <c r="F3" i="6"/>
  <c r="Y3" i="6" s="1"/>
  <c r="G3" i="6"/>
  <c r="AA3" i="6" s="1"/>
  <c r="H3" i="6"/>
  <c r="AB3" i="6" s="1"/>
  <c r="I3" i="6"/>
  <c r="AC3" i="6" s="1"/>
  <c r="J3" i="6"/>
  <c r="AF3" i="6" s="1"/>
  <c r="K3" i="6"/>
  <c r="AG3" i="6" s="1"/>
  <c r="L3" i="6"/>
  <c r="AI3" i="6" s="1"/>
  <c r="M3" i="6"/>
  <c r="AK3" i="6" s="1"/>
  <c r="N3" i="6"/>
  <c r="AL3" i="6" s="1"/>
  <c r="O3" i="6"/>
  <c r="P3" i="6"/>
  <c r="Q3" i="6"/>
  <c r="R3" i="6"/>
  <c r="S3" i="6"/>
  <c r="T1" i="6"/>
  <c r="U1" i="6"/>
  <c r="T2" i="6"/>
  <c r="U2" i="6"/>
  <c r="AF11" i="6" l="1"/>
  <c r="Z13" i="6"/>
  <c r="AD3" i="6"/>
  <c r="AF5" i="6"/>
  <c r="Y6" i="6"/>
  <c r="AA8" i="6"/>
  <c r="AK9" i="6"/>
  <c r="AD10" i="6"/>
  <c r="AF12" i="6"/>
  <c r="Y13" i="6"/>
  <c r="AA15" i="6"/>
  <c r="AI15" i="6"/>
  <c r="AK17" i="6"/>
  <c r="AD18" i="6"/>
  <c r="AF20" i="6"/>
  <c r="Y21" i="6"/>
  <c r="AA23" i="6"/>
  <c r="AI23" i="6"/>
  <c r="AK25" i="6"/>
  <c r="AD26" i="6"/>
  <c r="Z21" i="6"/>
  <c r="X3" i="6"/>
  <c r="Z5" i="6"/>
  <c r="AH5" i="6"/>
  <c r="AJ7" i="6"/>
  <c r="AC8" i="6"/>
  <c r="AE9" i="6"/>
  <c r="X10" i="6"/>
  <c r="Z12" i="6"/>
  <c r="AH12" i="6"/>
  <c r="AJ14" i="6"/>
  <c r="AC15" i="6"/>
  <c r="AD16" i="6"/>
  <c r="AE17" i="6"/>
  <c r="X18" i="6"/>
  <c r="Z20" i="6"/>
  <c r="AH20" i="6"/>
  <c r="AJ22" i="6"/>
  <c r="AC23" i="6"/>
  <c r="AD24" i="6"/>
  <c r="AE25" i="6"/>
  <c r="X26" i="6"/>
  <c r="Z4" i="6"/>
  <c r="AH4" i="6"/>
  <c r="AJ6" i="6"/>
  <c r="AC7" i="6"/>
  <c r="X9" i="6"/>
  <c r="Z11" i="6"/>
  <c r="AH11" i="6"/>
  <c r="AJ13" i="6"/>
  <c r="AC14" i="6"/>
  <c r="AE16" i="6"/>
  <c r="X17" i="6"/>
  <c r="Z19" i="6"/>
  <c r="AH19" i="6"/>
  <c r="AJ21" i="6"/>
  <c r="AC22" i="6"/>
  <c r="AE24" i="6"/>
  <c r="X25" i="6"/>
  <c r="Z27" i="6"/>
  <c r="AH27" i="6"/>
  <c r="Z3" i="6"/>
  <c r="AH3" i="6"/>
  <c r="AJ5" i="6"/>
  <c r="AC6" i="6"/>
  <c r="AE8" i="6"/>
  <c r="Z10" i="6"/>
  <c r="AH10" i="6"/>
  <c r="AJ12" i="6"/>
  <c r="AC13" i="6"/>
  <c r="AE15" i="6"/>
  <c r="X16" i="6"/>
  <c r="Z18" i="6"/>
  <c r="AH18" i="6"/>
  <c r="AJ20" i="6"/>
  <c r="AC21" i="6"/>
  <c r="AE23" i="6"/>
  <c r="X24" i="6"/>
  <c r="Z26" i="6"/>
  <c r="AH26" i="6"/>
  <c r="AJ4" i="6"/>
  <c r="AC5" i="6"/>
  <c r="AE7" i="6"/>
  <c r="X8" i="6"/>
  <c r="AH9" i="6"/>
  <c r="AJ11" i="6"/>
  <c r="AC12" i="6"/>
  <c r="AE14" i="6"/>
  <c r="X15" i="6"/>
  <c r="Z17" i="6"/>
  <c r="AH17" i="6"/>
  <c r="AJ19" i="6"/>
  <c r="AC20" i="6"/>
  <c r="AE22" i="6"/>
  <c r="X23" i="6"/>
  <c r="Z25" i="6"/>
  <c r="AH25" i="6"/>
  <c r="AJ27" i="6"/>
  <c r="AJ3" i="6"/>
  <c r="AC4" i="6"/>
  <c r="AE6" i="6"/>
  <c r="X7" i="6"/>
  <c r="AH8" i="6"/>
  <c r="AJ10" i="6"/>
  <c r="AC11" i="6"/>
  <c r="AE13" i="6"/>
  <c r="X14" i="6"/>
  <c r="Z16" i="6"/>
  <c r="AH16" i="6"/>
  <c r="AJ18" i="6"/>
  <c r="AC19" i="6"/>
  <c r="AE21" i="6"/>
  <c r="X22" i="6"/>
  <c r="Z24" i="6"/>
  <c r="AH24" i="6"/>
  <c r="AJ26" i="6"/>
  <c r="AC27" i="6"/>
  <c r="N3" i="8" l="1"/>
  <c r="M8" i="8"/>
  <c r="M9" i="8"/>
  <c r="L8" i="8"/>
  <c r="L9" i="8"/>
  <c r="M7" i="8"/>
  <c r="L7" i="8"/>
  <c r="N9" i="8" l="1"/>
  <c r="N12" i="8"/>
  <c r="M9" i="3"/>
  <c r="L9" i="3"/>
  <c r="J9" i="3"/>
  <c r="I9" i="3"/>
  <c r="G9" i="3"/>
  <c r="F9" i="3"/>
  <c r="M8" i="3"/>
  <c r="L8" i="3"/>
  <c r="J8" i="3"/>
  <c r="I8" i="3"/>
  <c r="G8" i="3"/>
  <c r="G9" i="6" s="1"/>
  <c r="F8" i="3"/>
  <c r="M7" i="3"/>
  <c r="L7" i="3"/>
  <c r="J7" i="3"/>
  <c r="I7" i="3"/>
  <c r="G7" i="3"/>
  <c r="F7" i="3"/>
  <c r="M6" i="3"/>
  <c r="L6" i="3"/>
  <c r="J6" i="3"/>
  <c r="I6" i="3"/>
  <c r="G6" i="3"/>
  <c r="G22" i="6" s="1"/>
  <c r="F6" i="3"/>
  <c r="Z22" i="6" l="1"/>
  <c r="AA22" i="6"/>
  <c r="AA9" i="6"/>
  <c r="Z9" i="6"/>
  <c r="S1" i="6"/>
  <c r="C1" i="6"/>
  <c r="D1" i="6"/>
  <c r="E1" i="6"/>
  <c r="F1" i="6"/>
  <c r="G1" i="6"/>
  <c r="H1" i="6"/>
  <c r="I1" i="6"/>
  <c r="J1" i="6"/>
  <c r="K1" i="6"/>
  <c r="L1" i="6"/>
  <c r="M1" i="6"/>
  <c r="N1" i="6"/>
  <c r="O1" i="6"/>
  <c r="P1" i="6"/>
  <c r="Q1" i="6"/>
  <c r="R1" i="6"/>
  <c r="B1" i="6"/>
  <c r="A3" i="6"/>
  <c r="A30" i="6" s="1"/>
  <c r="V24" i="3" l="1"/>
  <c r="W24" i="3"/>
  <c r="X24" i="3"/>
  <c r="Y24" i="3"/>
  <c r="Z24" i="3"/>
  <c r="AA24" i="3"/>
  <c r="AB24" i="3"/>
  <c r="AC24" i="3"/>
  <c r="AD24" i="3"/>
  <c r="AE24" i="3"/>
  <c r="AF24" i="3"/>
  <c r="AG24" i="3"/>
  <c r="AH24" i="3"/>
  <c r="AI24" i="3"/>
  <c r="AJ24" i="3"/>
  <c r="AK24" i="3"/>
  <c r="AL24" i="3"/>
  <c r="V25" i="3"/>
  <c r="W25" i="3"/>
  <c r="X25" i="3"/>
  <c r="Y25" i="3"/>
  <c r="Z25" i="3"/>
  <c r="AA25" i="3"/>
  <c r="AB25" i="3"/>
  <c r="AC25" i="3"/>
  <c r="AD25" i="3"/>
  <c r="AE25" i="3"/>
  <c r="AF25" i="3"/>
  <c r="AG25" i="3"/>
  <c r="AH25" i="3"/>
  <c r="AI25" i="3"/>
  <c r="AJ25" i="3"/>
  <c r="AK25" i="3"/>
  <c r="AL25" i="3"/>
  <c r="V26" i="3"/>
  <c r="W26" i="3"/>
  <c r="X26" i="3"/>
  <c r="Y26" i="3"/>
  <c r="Z26" i="3"/>
  <c r="AA26" i="3"/>
  <c r="AB26" i="3"/>
  <c r="AC26" i="3"/>
  <c r="AD26" i="3"/>
  <c r="AE26" i="3"/>
  <c r="AF26" i="3"/>
  <c r="AG26" i="3"/>
  <c r="AH26" i="3"/>
  <c r="AI26" i="3"/>
  <c r="AJ26" i="3"/>
  <c r="AK26" i="3"/>
  <c r="AL26" i="3"/>
  <c r="V27" i="3"/>
  <c r="W27" i="3"/>
  <c r="X27" i="3"/>
  <c r="Y27" i="3"/>
  <c r="Z27" i="3"/>
  <c r="AA27" i="3"/>
  <c r="AB27" i="3"/>
  <c r="AC27" i="3"/>
  <c r="AD27" i="3"/>
  <c r="AE27" i="3"/>
  <c r="AF27" i="3"/>
  <c r="AG27" i="3"/>
  <c r="AH27" i="3"/>
  <c r="AI27" i="3"/>
  <c r="AJ27" i="3"/>
  <c r="AK27" i="3"/>
  <c r="AL27" i="3"/>
  <c r="V3" i="3" l="1"/>
  <c r="W4" i="3"/>
  <c r="X4" i="3"/>
  <c r="Y4" i="3"/>
  <c r="Z4" i="3"/>
  <c r="AA4" i="3"/>
  <c r="AB4" i="3"/>
  <c r="AC4" i="3"/>
  <c r="AD4" i="3"/>
  <c r="AE4" i="3"/>
  <c r="AF4" i="3"/>
  <c r="AG4" i="3"/>
  <c r="AH4" i="3"/>
  <c r="AI4" i="3"/>
  <c r="AJ4" i="3"/>
  <c r="AK4" i="3"/>
  <c r="AL4" i="3"/>
  <c r="W5" i="3"/>
  <c r="X5" i="3"/>
  <c r="Y5" i="3"/>
  <c r="Z5" i="3"/>
  <c r="AA5" i="3"/>
  <c r="AB5" i="3"/>
  <c r="AC5" i="3"/>
  <c r="AD5" i="3"/>
  <c r="AE5" i="3"/>
  <c r="AF5" i="3"/>
  <c r="AG5" i="3"/>
  <c r="AH5" i="3"/>
  <c r="AI5" i="3"/>
  <c r="AJ5" i="3"/>
  <c r="AK5" i="3"/>
  <c r="AL5" i="3"/>
  <c r="W6" i="3"/>
  <c r="AB6" i="3"/>
  <c r="AC6" i="3"/>
  <c r="AG6" i="3"/>
  <c r="AL6" i="3"/>
  <c r="W7" i="3"/>
  <c r="AB7" i="3"/>
  <c r="AG7" i="3"/>
  <c r="AL7" i="3"/>
  <c r="W8" i="3"/>
  <c r="AB8" i="3"/>
  <c r="AG8" i="3"/>
  <c r="AL8" i="3"/>
  <c r="W9" i="3"/>
  <c r="AB9" i="3"/>
  <c r="AG9" i="3"/>
  <c r="AL9" i="3"/>
  <c r="W10" i="3"/>
  <c r="X10" i="3"/>
  <c r="Y10" i="3"/>
  <c r="Z10" i="3"/>
  <c r="AA10" i="3"/>
  <c r="AB10" i="3"/>
  <c r="AC10" i="3"/>
  <c r="AD10" i="3"/>
  <c r="AE10" i="3"/>
  <c r="AF10" i="3"/>
  <c r="AG10" i="3"/>
  <c r="AH10" i="3"/>
  <c r="AI10" i="3"/>
  <c r="AJ10" i="3"/>
  <c r="AK10" i="3"/>
  <c r="AL10" i="3"/>
  <c r="W11" i="3"/>
  <c r="X11" i="3"/>
  <c r="Y11" i="3"/>
  <c r="Z11" i="3"/>
  <c r="AA11" i="3"/>
  <c r="AB11" i="3"/>
  <c r="AC11" i="3"/>
  <c r="AD11" i="3"/>
  <c r="AE11" i="3"/>
  <c r="AF11" i="3"/>
  <c r="AG11" i="3"/>
  <c r="AH11" i="3"/>
  <c r="AI11" i="3"/>
  <c r="AJ11" i="3"/>
  <c r="AK11" i="3"/>
  <c r="AL11" i="3"/>
  <c r="W12" i="3"/>
  <c r="X12" i="3"/>
  <c r="Y12" i="3"/>
  <c r="Z12" i="3"/>
  <c r="AA12" i="3"/>
  <c r="AB12" i="3"/>
  <c r="AC12" i="3"/>
  <c r="AD12" i="3"/>
  <c r="AE12" i="3"/>
  <c r="AF12" i="3"/>
  <c r="AG12" i="3"/>
  <c r="AH12" i="3"/>
  <c r="AI12" i="3"/>
  <c r="AJ12" i="3"/>
  <c r="AK12" i="3"/>
  <c r="AL12" i="3"/>
  <c r="W13" i="3"/>
  <c r="X13" i="3"/>
  <c r="Y13" i="3"/>
  <c r="Z13" i="3"/>
  <c r="AA13" i="3"/>
  <c r="AB13" i="3"/>
  <c r="AC13" i="3"/>
  <c r="AD13" i="3"/>
  <c r="AE13" i="3"/>
  <c r="AF13" i="3"/>
  <c r="AG13" i="3"/>
  <c r="AH13" i="3"/>
  <c r="AI13" i="3"/>
  <c r="AJ13" i="3"/>
  <c r="AK13" i="3"/>
  <c r="AL13" i="3"/>
  <c r="W14" i="3"/>
  <c r="X14" i="3"/>
  <c r="Y14" i="3"/>
  <c r="Z14" i="3"/>
  <c r="AA14" i="3"/>
  <c r="AB14" i="3"/>
  <c r="AC14" i="3"/>
  <c r="AD14" i="3"/>
  <c r="AE14" i="3"/>
  <c r="AF14" i="3"/>
  <c r="AG14" i="3"/>
  <c r="AH14" i="3"/>
  <c r="AI14" i="3"/>
  <c r="AJ14" i="3"/>
  <c r="AK14" i="3"/>
  <c r="AL14" i="3"/>
  <c r="W15" i="3"/>
  <c r="X15" i="3"/>
  <c r="Y15" i="3"/>
  <c r="Z15" i="3"/>
  <c r="AA15" i="3"/>
  <c r="AB15" i="3"/>
  <c r="AC15" i="3"/>
  <c r="AD15" i="3"/>
  <c r="AE15" i="3"/>
  <c r="AF15" i="3"/>
  <c r="AG15" i="3"/>
  <c r="AH15" i="3"/>
  <c r="AI15" i="3"/>
  <c r="AJ15" i="3"/>
  <c r="AK15" i="3"/>
  <c r="AL15" i="3"/>
  <c r="W16" i="3"/>
  <c r="X16" i="3"/>
  <c r="Y16" i="3"/>
  <c r="Z16" i="3"/>
  <c r="AA16" i="3"/>
  <c r="AB16" i="3"/>
  <c r="AC16" i="3"/>
  <c r="AD16" i="3"/>
  <c r="AE16" i="3"/>
  <c r="AF16" i="3"/>
  <c r="AG16" i="3"/>
  <c r="AH16" i="3"/>
  <c r="AI16" i="3"/>
  <c r="AJ16" i="3"/>
  <c r="AK16" i="3"/>
  <c r="AL16" i="3"/>
  <c r="W17" i="3"/>
  <c r="X17" i="3"/>
  <c r="Y17" i="3"/>
  <c r="Z17" i="3"/>
  <c r="AA17" i="3"/>
  <c r="AB17" i="3"/>
  <c r="AC17" i="3"/>
  <c r="AD17" i="3"/>
  <c r="AE17" i="3"/>
  <c r="AF17" i="3"/>
  <c r="AG17" i="3"/>
  <c r="AH17" i="3"/>
  <c r="AI17" i="3"/>
  <c r="AJ17" i="3"/>
  <c r="AK17" i="3"/>
  <c r="AL17" i="3"/>
  <c r="W18" i="3"/>
  <c r="X18" i="3"/>
  <c r="Y18" i="3"/>
  <c r="Z18" i="3"/>
  <c r="AA18" i="3"/>
  <c r="AB18" i="3"/>
  <c r="AC18" i="3"/>
  <c r="AD18" i="3"/>
  <c r="AE18" i="3"/>
  <c r="AF18" i="3"/>
  <c r="AG18" i="3"/>
  <c r="AH18" i="3"/>
  <c r="AI18" i="3"/>
  <c r="AJ18" i="3"/>
  <c r="AK18" i="3"/>
  <c r="AL18" i="3"/>
  <c r="W19" i="3"/>
  <c r="X19" i="3"/>
  <c r="Y19" i="3"/>
  <c r="Z19" i="3"/>
  <c r="AA19" i="3"/>
  <c r="AB19" i="3"/>
  <c r="AC19" i="3"/>
  <c r="AD19" i="3"/>
  <c r="AE19" i="3"/>
  <c r="AF19" i="3"/>
  <c r="AG19" i="3"/>
  <c r="AH19" i="3"/>
  <c r="AI19" i="3"/>
  <c r="AJ19" i="3"/>
  <c r="AK19" i="3"/>
  <c r="AL19" i="3"/>
  <c r="W20" i="3"/>
  <c r="X20" i="3"/>
  <c r="Y20" i="3"/>
  <c r="Z20" i="3"/>
  <c r="AA20" i="3"/>
  <c r="AB20" i="3"/>
  <c r="AC20" i="3"/>
  <c r="AD20" i="3"/>
  <c r="AE20" i="3"/>
  <c r="AF20" i="3"/>
  <c r="AG20" i="3"/>
  <c r="AH20" i="3"/>
  <c r="AI20" i="3"/>
  <c r="AJ20" i="3"/>
  <c r="AK20" i="3"/>
  <c r="AL20" i="3"/>
  <c r="W21" i="3"/>
  <c r="X21" i="3"/>
  <c r="Y21" i="3"/>
  <c r="Z21" i="3"/>
  <c r="AA21" i="3"/>
  <c r="AB21" i="3"/>
  <c r="AC21" i="3"/>
  <c r="AD21" i="3"/>
  <c r="AE21" i="3"/>
  <c r="AF21" i="3"/>
  <c r="AG21" i="3"/>
  <c r="AH21" i="3"/>
  <c r="AI21" i="3"/>
  <c r="AJ21" i="3"/>
  <c r="AK21" i="3"/>
  <c r="AL21" i="3"/>
  <c r="W22" i="3"/>
  <c r="X22" i="3"/>
  <c r="Y22" i="3"/>
  <c r="Z22" i="3"/>
  <c r="AA22" i="3"/>
  <c r="AB22" i="3"/>
  <c r="AC22" i="3"/>
  <c r="AD22" i="3"/>
  <c r="AE22" i="3"/>
  <c r="AF22" i="3"/>
  <c r="AG22" i="3"/>
  <c r="AH22" i="3"/>
  <c r="AI22" i="3"/>
  <c r="AJ22" i="3"/>
  <c r="AK22" i="3"/>
  <c r="AL22" i="3"/>
  <c r="W23" i="3"/>
  <c r="X23" i="3"/>
  <c r="Y23" i="3"/>
  <c r="Z23" i="3"/>
  <c r="AA23" i="3"/>
  <c r="AB23" i="3"/>
  <c r="AC23" i="3"/>
  <c r="AD23" i="3"/>
  <c r="AE23" i="3"/>
  <c r="AF23" i="3"/>
  <c r="AG23" i="3"/>
  <c r="AH23" i="3"/>
  <c r="AI23" i="3"/>
  <c r="AJ23" i="3"/>
  <c r="AK23" i="3"/>
  <c r="AL23" i="3"/>
  <c r="AL3" i="3"/>
  <c r="AK3" i="3"/>
  <c r="AJ3" i="3"/>
  <c r="AI3" i="3"/>
  <c r="AH3" i="3"/>
  <c r="AG3" i="3"/>
  <c r="AF3" i="3"/>
  <c r="AE3" i="3"/>
  <c r="AD3" i="3"/>
  <c r="AC3" i="3"/>
  <c r="AB3" i="3"/>
  <c r="AA3" i="3"/>
  <c r="Z3" i="3"/>
  <c r="Y3" i="3"/>
  <c r="X3" i="3"/>
  <c r="W3" i="3"/>
  <c r="V4" i="3"/>
  <c r="V5" i="3"/>
  <c r="V6" i="3"/>
  <c r="V7" i="3"/>
  <c r="V8" i="3"/>
  <c r="V9" i="3"/>
  <c r="V10" i="3"/>
  <c r="V11" i="3"/>
  <c r="V12" i="3"/>
  <c r="V13" i="3"/>
  <c r="V14" i="3"/>
  <c r="V15" i="3"/>
  <c r="V16" i="3"/>
  <c r="V17" i="3"/>
  <c r="V18" i="3"/>
  <c r="V19" i="3"/>
  <c r="V20" i="3"/>
  <c r="V21" i="3"/>
  <c r="V22" i="3"/>
  <c r="V23" i="3"/>
  <c r="AD6" i="3"/>
  <c r="AC8" i="3" l="1"/>
  <c r="X7" i="3"/>
  <c r="AK9" i="3"/>
  <c r="AF9" i="3"/>
  <c r="AA9" i="3"/>
  <c r="AA7" i="3"/>
  <c r="Z7" i="3"/>
  <c r="AJ9" i="3"/>
  <c r="Z9" i="3"/>
  <c r="AH9" i="3"/>
  <c r="Y9" i="3"/>
  <c r="AD9" i="3"/>
  <c r="AI8" i="3"/>
  <c r="AC9" i="3"/>
  <c r="AH8" i="3"/>
  <c r="X9" i="3"/>
  <c r="Y7" i="3"/>
  <c r="AE9" i="3"/>
  <c r="AF7" i="3"/>
  <c r="AE7" i="3"/>
  <c r="AD7" i="3"/>
  <c r="AC7" i="3"/>
  <c r="AK7" i="3"/>
  <c r="AJ7" i="3"/>
  <c r="AI7" i="3"/>
  <c r="AH7" i="3"/>
  <c r="AI9" i="3"/>
  <c r="AA6" i="3"/>
  <c r="AA8" i="3"/>
  <c r="Z6" i="3"/>
  <c r="Z8" i="3"/>
  <c r="Y8" i="3"/>
  <c r="X8" i="3"/>
  <c r="Y6" i="3"/>
  <c r="X6" i="3"/>
  <c r="AF8" i="3"/>
  <c r="AE8" i="3"/>
  <c r="AF6" i="3"/>
  <c r="AE6" i="3"/>
  <c r="AD8" i="3"/>
  <c r="AK8" i="3"/>
  <c r="AK6" i="3"/>
  <c r="AJ8" i="3"/>
  <c r="AJ6" i="3"/>
  <c r="AI6" i="3"/>
  <c r="AH6" i="3"/>
</calcChain>
</file>

<file path=xl/sharedStrings.xml><?xml version="1.0" encoding="utf-8"?>
<sst xmlns="http://schemas.openxmlformats.org/spreadsheetml/2006/main" count="244" uniqueCount="173">
  <si>
    <t>序号</t>
  </si>
  <si>
    <t>参数PID</t>
  </si>
  <si>
    <t>告警类别</t>
  </si>
  <si>
    <t>告警使能</t>
  </si>
  <si>
    <t>成熟/解除确认时间</t>
  </si>
  <si>
    <t>三级阈值</t>
  </si>
  <si>
    <t>解除阈值</t>
  </si>
  <si>
    <t>充/放内部等级</t>
  </si>
  <si>
    <t>二级阈值</t>
  </si>
  <si>
    <t>一级阈值</t>
  </si>
  <si>
    <t>精度&amp;单位</t>
  </si>
  <si>
    <t>备注</t>
  </si>
  <si>
    <t>一级</t>
  </si>
  <si>
    <t>二级</t>
  </si>
  <si>
    <t>三级</t>
  </si>
  <si>
    <t>串数</t>
  </si>
  <si>
    <t>包数</t>
  </si>
  <si>
    <t>HEX</t>
  </si>
  <si>
    <t>bit0</t>
  </si>
  <si>
    <t>bit1</t>
  </si>
  <si>
    <t>bit2</t>
  </si>
  <si>
    <t>bit3</t>
  </si>
  <si>
    <t>bit4</t>
  </si>
  <si>
    <t>bit5</t>
  </si>
  <si>
    <t>bit6</t>
  </si>
  <si>
    <t>bit7</t>
  </si>
  <si>
    <t>bit8</t>
  </si>
  <si>
    <t>bit9</t>
  </si>
  <si>
    <t>bit10</t>
  </si>
  <si>
    <t>bit11</t>
  </si>
  <si>
    <t>bit12</t>
  </si>
  <si>
    <t>bit13</t>
  </si>
  <si>
    <t>bit14</t>
  </si>
  <si>
    <t>bit15</t>
  </si>
  <si>
    <t>bit16</t>
  </si>
  <si>
    <t>0xF001</t>
  </si>
  <si>
    <t>单体电压过高</t>
  </si>
  <si>
    <t>1mv</t>
  </si>
  <si>
    <t>≥</t>
  </si>
  <si>
    <t>0xF002</t>
  </si>
  <si>
    <t>单体电压过低</t>
  </si>
  <si>
    <t>≤</t>
  </si>
  <si>
    <t>0xF003</t>
  </si>
  <si>
    <t>单体压差过大</t>
  </si>
  <si>
    <t>0xF01E</t>
  </si>
  <si>
    <t>模块总压过高</t>
  </si>
  <si>
    <t>0.1V</t>
  </si>
  <si>
    <t>0xF01F</t>
  </si>
  <si>
    <t>模块总压过低</t>
  </si>
  <si>
    <t>0xF00B</t>
  </si>
  <si>
    <t>簇总压过高</t>
  </si>
  <si>
    <t>0xF00C</t>
  </si>
  <si>
    <t>簇总压过低</t>
  </si>
  <si>
    <t>0xF00E</t>
  </si>
  <si>
    <t>簇放电电流过大</t>
  </si>
  <si>
    <t>&gt; </t>
  </si>
  <si>
    <t>0xF00F</t>
  </si>
  <si>
    <t>簇充电电流过大</t>
  </si>
  <si>
    <t>0xF014</t>
  </si>
  <si>
    <t>高压绝缘故障</t>
  </si>
  <si>
    <t>1Ω/V</t>
  </si>
  <si>
    <t>0xF020</t>
  </si>
  <si>
    <t>充电温度高</t>
  </si>
  <si>
    <t>0xF021</t>
  </si>
  <si>
    <t>充电温度低</t>
  </si>
  <si>
    <t>0xF006</t>
  </si>
  <si>
    <t>放电温度高</t>
  </si>
  <si>
    <t>0xF007</t>
  </si>
  <si>
    <t>放电温度低</t>
  </si>
  <si>
    <t>0xF008</t>
  </si>
  <si>
    <t>温差过大</t>
  </si>
  <si>
    <t>0xF023</t>
  </si>
  <si>
    <t>SOC过低</t>
  </si>
  <si>
    <t>0xF024</t>
  </si>
  <si>
    <t>SOH过低</t>
  </si>
  <si>
    <t>0xF012</t>
  </si>
  <si>
    <t>供电电压过高</t>
  </si>
  <si>
    <t>0xF013</t>
  </si>
  <si>
    <t>供电电压过低</t>
  </si>
  <si>
    <t>0xF010</t>
  </si>
  <si>
    <t>环境温度过高</t>
  </si>
  <si>
    <t>0xF011</t>
  </si>
  <si>
    <t>环境温度过低</t>
  </si>
  <si>
    <t>hhkjhkjhkj</t>
    <phoneticPr fontId="3" type="noConversion"/>
  </si>
  <si>
    <t>十进制</t>
    <phoneticPr fontId="3" type="noConversion"/>
  </si>
  <si>
    <t>内部故障等级在哪里查</t>
    <phoneticPr fontId="3" type="noConversion"/>
  </si>
  <si>
    <t>阈值设置模式是什么意思
0x0: Program Setting
0x1: Manual Setting</t>
    <phoneticPr fontId="3" type="noConversion"/>
  </si>
  <si>
    <t>簇放电/充电过流用乘系数和加常数的时候是不是配置表和故障模块都要重设</t>
    <phoneticPr fontId="3" type="noConversion"/>
  </si>
  <si>
    <t>过高时T&gt;触发阈值，恢复时T&lt;恢复阈值，若不准恢复，设置恢复阈值为0，T无法&lt;0。若过低时，T&lt;触发阈值，恢复时T&gt;恢复阈值，T肯定能&gt;0。推断出0不是代表物理值，而是逻辑值。需要查模型</t>
    <phoneticPr fontId="3" type="noConversion"/>
  </si>
  <si>
    <t xml:space="preserve">51-SOC过低3级  没有故障等级  </t>
    <phoneticPr fontId="3" type="noConversion"/>
  </si>
  <si>
    <t>0xF01A</t>
    <phoneticPr fontId="3" type="noConversion"/>
  </si>
  <si>
    <t>S板过高温(环境)</t>
    <phoneticPr fontId="3" type="noConversion"/>
  </si>
  <si>
    <t>1℃(-40)</t>
    <phoneticPr fontId="3" type="noConversion"/>
  </si>
  <si>
    <t>0xF01B</t>
    <phoneticPr fontId="3" type="noConversion"/>
  </si>
  <si>
    <t>S板充电插座过温</t>
    <phoneticPr fontId="3" type="noConversion"/>
  </si>
  <si>
    <t>0xF01C</t>
    <phoneticPr fontId="3" type="noConversion"/>
  </si>
  <si>
    <t>环流过大</t>
    <phoneticPr fontId="3" type="noConversion"/>
  </si>
  <si>
    <t>0.1A</t>
    <phoneticPr fontId="3" type="noConversion"/>
  </si>
  <si>
    <t>0xF019</t>
    <phoneticPr fontId="3" type="noConversion"/>
  </si>
  <si>
    <t>S板过高温(单体)</t>
    <phoneticPr fontId="3" type="noConversion"/>
  </si>
  <si>
    <t>环流过大的故障如何用数值体现</t>
    <phoneticPr fontId="3" type="noConversion"/>
  </si>
  <si>
    <t>RTE_CAN_CanDataPduId函数是空的，没有描述，是正常的吗
模型里面空的可以，生成代码的时候只引用，工程里面的是写了的</t>
    <phoneticPr fontId="3" type="noConversion"/>
  </si>
  <si>
    <t>0.1A(-30000)</t>
    <phoneticPr fontId="3" type="noConversion"/>
  </si>
  <si>
    <t>0.1V</t>
    <phoneticPr fontId="3" type="noConversion"/>
  </si>
  <si>
    <t>TBD</t>
  </si>
  <si>
    <t>0xFF11</t>
  </si>
  <si>
    <t>0xFF10</t>
  </si>
  <si>
    <t>0xFF0F</t>
  </si>
  <si>
    <t>0xFF0E</t>
  </si>
  <si>
    <t>0xFF0D</t>
  </si>
  <si>
    <t>3级（严重）</t>
  </si>
  <si>
    <t>0xFF0C</t>
  </si>
  <si>
    <t>0xFF0B</t>
  </si>
  <si>
    <t>0xFF0A</t>
  </si>
  <si>
    <t>0xFF09</t>
  </si>
  <si>
    <t>0xFF08</t>
  </si>
  <si>
    <t>0xFF07</t>
  </si>
  <si>
    <t>2级（一般）</t>
  </si>
  <si>
    <t>0xFF06</t>
  </si>
  <si>
    <t>0xFF05</t>
  </si>
  <si>
    <t>0xFF04</t>
  </si>
  <si>
    <t>0xFF03</t>
  </si>
  <si>
    <t>0xFF02</t>
  </si>
  <si>
    <t>0xFF01</t>
  </si>
  <si>
    <t>1级（轻微）</t>
  </si>
  <si>
    <t>放电功率降级/%</t>
  </si>
  <si>
    <t>充电功率降级/%</t>
  </si>
  <si>
    <t>切断使能</t>
  </si>
  <si>
    <t>PID</t>
  </si>
  <si>
    <t>内部故障等级</t>
  </si>
  <si>
    <t>系统主故障等级</t>
  </si>
  <si>
    <t>Byt2</t>
  </si>
  <si>
    <t>Byt1</t>
  </si>
  <si>
    <t>Byt0</t>
  </si>
  <si>
    <t>参数群</t>
  </si>
  <si>
    <t>总字节</t>
  </si>
  <si>
    <t>起始字节Byt</t>
  </si>
  <si>
    <t>长度</t>
  </si>
  <si>
    <t>偏移量</t>
  </si>
  <si>
    <t>系数</t>
  </si>
  <si>
    <t>单位</t>
  </si>
  <si>
    <t>特殊释义</t>
  </si>
  <si>
    <t>默认值Dec</t>
  </si>
  <si>
    <t>默认值Hex</t>
  </si>
  <si>
    <t>有效最小值</t>
  </si>
  <si>
    <t>有效最大值</t>
  </si>
  <si>
    <t>0xB004</t>
  </si>
  <si>
    <t>电压采集串数群</t>
  </si>
  <si>
    <t>BSU单体电压采集总串数</t>
  </si>
  <si>
    <t>串</t>
  </si>
  <si>
    <t>0xB009</t>
  </si>
  <si>
    <t>单体电压跳变诊断配置群</t>
  </si>
  <si>
    <t>均衡开启压差</t>
    <phoneticPr fontId="3" type="noConversion"/>
  </si>
  <si>
    <t>mV</t>
  </si>
  <si>
    <t>0x00</t>
  </si>
  <si>
    <t>0x03</t>
  </si>
  <si>
    <t>均衡关闭温度</t>
    <phoneticPr fontId="3" type="noConversion"/>
  </si>
  <si>
    <t>℃</t>
  </si>
  <si>
    <t>-40℃偏移量</t>
  </si>
  <si>
    <t>均衡关闭最高单体电压</t>
    <phoneticPr fontId="3" type="noConversion"/>
  </si>
  <si>
    <t>均衡关闭最低单体电压</t>
    <phoneticPr fontId="3" type="noConversion"/>
  </si>
  <si>
    <t>均衡开关时间</t>
    <phoneticPr fontId="3" type="noConversion"/>
  </si>
  <si>
    <t>/</t>
  </si>
  <si>
    <t>0xB00A</t>
  </si>
  <si>
    <t>电压温度数群</t>
  </si>
  <si>
    <t>BSU单体温度采集总数</t>
  </si>
  <si>
    <t>个</t>
  </si>
  <si>
    <t>BSU采集NTC默认配置表</t>
  </si>
  <si>
    <t>0x0 10K-预设参数
0x1 100K-预设参数</t>
  </si>
  <si>
    <t>均衡配置参数不同电芯也用的同样的数值，应该怎么去设置</t>
    <phoneticPr fontId="3" type="noConversion"/>
  </si>
  <si>
    <t>NVMC模块有36个F0XX的故障阈值PID，表里面只有25个，多的是什么</t>
    <phoneticPr fontId="3" type="noConversion"/>
  </si>
  <si>
    <t>自动算</t>
    <phoneticPr fontId="3" type="noConversion"/>
  </si>
  <si>
    <t>手动写</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</si>
</sst>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_ "/>
  </numFmts>
  <fonts count="14" x14ac:knownFonts="1">
    <font>
      <sz val="11"/>
      <color theme="1"/>
      <name val="等线"/>
      <family val="2"/>
      <scheme val="minor"/>
    </font>
    <font>
      <sz val="11"/>
      <color theme="1"/>
      <name val="等线"/>
      <family val="3"/>
      <charset val="134"/>
      <scheme val="minor"/>
    </font>
    <font>
      <sz val="9"/>
      <color rgb="FF000000"/>
      <name val="等线"/>
      <family val="3"/>
      <charset val="134"/>
    </font>
    <font>
      <sz val="9"/>
      <name val="等线"/>
      <family val="3"/>
      <charset val="134"/>
      <scheme val="minor"/>
    </font>
    <font>
      <b/>
      <sz val="9"/>
      <color rgb="FF000000"/>
      <name val="等线"/>
      <family val="3"/>
      <charset val="134"/>
    </font>
    <font>
      <sz val="9"/>
      <color theme="1"/>
      <name val="等线"/>
      <family val="3"/>
      <charset val="134"/>
      <scheme val="minor"/>
    </font>
    <font>
      <sz val="11"/>
      <color rgb="FF000000"/>
      <name val="等线"/>
      <family val="3"/>
      <charset val="134"/>
    </font>
    <font>
      <b/>
      <sz val="11"/>
      <color theme="1"/>
      <name val="等线"/>
      <family val="3"/>
      <charset val="134"/>
      <scheme val="minor"/>
    </font>
    <font>
      <sz val="12"/>
      <name val="宋体"/>
      <family val="3"/>
      <charset val="134"/>
    </font>
    <font>
      <sz val="11"/>
      <color rgb="FFFF0000"/>
      <name val="等线"/>
      <family val="2"/>
      <scheme val="minor"/>
    </font>
    <font>
      <sz val="9"/>
      <name val="等线"/>
      <family val="3"/>
      <charset val="134"/>
    </font>
    <font>
      <sz val="9"/>
      <color rgb="FFFF0000"/>
      <name val="等线"/>
      <family val="3"/>
      <charset val="134"/>
    </font>
    <font>
      <b/>
      <sz val="11"/>
      <name val="等线"/>
      <family val="3"/>
      <charset val="134"/>
      <scheme val="minor"/>
    </font>
    <font>
      <sz val="11"/>
      <color theme="1"/>
      <name val="仿宋"/>
      <family val="3"/>
      <charset val="134"/>
    </font>
  </fonts>
  <fills count="17">
    <fill>
      <patternFill patternType="none"/>
    </fill>
    <fill>
      <patternFill patternType="gray125"/>
    </fill>
    <fill>
      <patternFill patternType="solid">
        <fgColor rgb="FFFF0000"/>
        <bgColor indexed="64"/>
      </patternFill>
    </fill>
    <fill>
      <patternFill patternType="solid">
        <fgColor rgb="FFB4C6E7"/>
        <bgColor indexed="64"/>
      </patternFill>
    </fill>
    <fill>
      <patternFill patternType="solid">
        <fgColor rgb="FFF8CBAD"/>
        <bgColor indexed="64"/>
      </patternFill>
    </fill>
    <fill>
      <patternFill patternType="solid">
        <fgColor rgb="FFFCE4D6"/>
        <bgColor indexed="64"/>
      </patternFill>
    </fill>
    <fill>
      <patternFill patternType="solid">
        <fgColor rgb="FF92D050"/>
        <bgColor indexed="64"/>
      </patternFill>
    </fill>
    <fill>
      <patternFill patternType="solid">
        <fgColor rgb="FFD9D9D9"/>
        <bgColor indexed="64"/>
      </patternFill>
    </fill>
    <fill>
      <patternFill patternType="solid">
        <fgColor rgb="FFFFFF00"/>
        <bgColor indexed="64"/>
      </patternFill>
    </fill>
    <fill>
      <patternFill patternType="solid">
        <fgColor theme="4"/>
        <bgColor indexed="64"/>
      </patternFill>
    </fill>
    <fill>
      <patternFill patternType="solid">
        <fgColor theme="5"/>
        <bgColor indexed="64"/>
      </patternFill>
    </fill>
    <fill>
      <patternFill patternType="solid">
        <fgColor theme="4" tint="0.39994506668294322"/>
        <bgColor indexed="64"/>
      </patternFill>
    </fill>
    <fill>
      <patternFill patternType="solid">
        <fgColor rgb="FF00B0F0"/>
        <bgColor indexed="64"/>
      </patternFill>
    </fill>
    <fill>
      <patternFill patternType="solid">
        <fgColor theme="7" tint="0.79995117038483843"/>
        <bgColor indexed="64"/>
      </patternFill>
    </fill>
    <fill>
      <patternFill patternType="solid">
        <fgColor theme="8" tint="0.39994506668294322"/>
        <bgColor indexed="64"/>
      </patternFill>
    </fill>
    <fill>
      <patternFill patternType="solid">
        <fgColor theme="9" tint="0.79995117038483843"/>
        <bgColor indexed="64"/>
      </patternFill>
    </fill>
    <fill>
      <patternFill patternType="solid">
        <fgColor theme="4" tint="0.59999389629810485"/>
        <bgColor indexed="64"/>
      </patternFill>
    </fill>
  </fills>
  <borders count="20">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medium">
        <color indexed="64"/>
      </bottom>
      <diagonal/>
    </border>
    <border>
      <left/>
      <right/>
      <top/>
      <bottom style="medium">
        <color indexed="64"/>
      </bottom>
      <diagonal/>
    </border>
    <border>
      <left style="thin">
        <color auto="1"/>
      </left>
      <right style="thin">
        <color auto="1"/>
      </right>
      <top/>
      <bottom style="thin">
        <color auto="1"/>
      </bottom>
      <diagonal/>
    </border>
    <border>
      <left style="thin">
        <color auto="1"/>
      </left>
      <right style="thin">
        <color auto="1"/>
      </right>
      <top/>
      <bottom style="medium">
        <color indexed="64"/>
      </bottom>
      <diagonal/>
    </border>
    <border>
      <left style="thin">
        <color auto="1"/>
      </left>
      <right style="thick">
        <color indexed="64"/>
      </right>
      <top style="thin">
        <color auto="1"/>
      </top>
      <bottom style="thin">
        <color auto="1"/>
      </bottom>
      <diagonal/>
    </border>
    <border>
      <left style="thick">
        <color auto="1"/>
      </left>
      <right style="thin">
        <color auto="1"/>
      </right>
      <top style="thin">
        <color auto="1"/>
      </top>
      <bottom style="thin">
        <color auto="1"/>
      </bottom>
      <diagonal/>
    </border>
    <border>
      <left/>
      <right/>
      <top style="thin">
        <color auto="1"/>
      </top>
      <bottom style="thick">
        <color indexed="64"/>
      </bottom>
      <diagonal/>
    </border>
    <border>
      <left style="thin">
        <color auto="1"/>
      </left>
      <right style="thin">
        <color auto="1"/>
      </right>
      <top style="thin">
        <color auto="1"/>
      </top>
      <bottom style="thick">
        <color indexed="64"/>
      </bottom>
      <diagonal/>
    </border>
    <border>
      <left/>
      <right style="thin">
        <color auto="1"/>
      </right>
      <top style="thin">
        <color auto="1"/>
      </top>
      <bottom style="thick">
        <color indexed="64"/>
      </bottom>
      <diagonal/>
    </border>
    <border>
      <left/>
      <right/>
      <top/>
      <bottom style="thick">
        <color indexed="64"/>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s>
  <cellStyleXfs count="3">
    <xf numFmtId="0" fontId="0" fillId="0" borderId="0"/>
    <xf numFmtId="0" fontId="1" fillId="0" borderId="0"/>
    <xf numFmtId="0" fontId="8" fillId="0" borderId="0">
      <alignment vertical="center"/>
    </xf>
  </cellStyleXfs>
  <cellXfs count="96">
    <xf numFmtId="0" fontId="0" fillId="0" borderId="0" xfId="0"/>
    <xf numFmtId="0" fontId="5" fillId="6" borderId="1" xfId="1" applyFont="1" applyFill="1" applyBorder="1" applyAlignment="1">
      <alignment horizontal="center" vertical="center"/>
    </xf>
    <xf numFmtId="0" fontId="1" fillId="0" borderId="0" xfId="1"/>
    <xf numFmtId="0" fontId="1" fillId="0" borderId="1" xfId="1" applyBorder="1" applyAlignment="1">
      <alignment horizontal="center" vertical="center"/>
    </xf>
    <xf numFmtId="0" fontId="1" fillId="8" borderId="1" xfId="1" applyFill="1" applyBorder="1" applyAlignment="1">
      <alignment horizontal="center" vertical="center"/>
    </xf>
    <xf numFmtId="0" fontId="1" fillId="8" borderId="1" xfId="1" applyFill="1" applyBorder="1" applyAlignment="1">
      <alignment horizontal="center"/>
    </xf>
    <xf numFmtId="0" fontId="6" fillId="8" borderId="1" xfId="1" applyFont="1" applyFill="1" applyBorder="1" applyAlignment="1">
      <alignment horizontal="center" vertical="center"/>
    </xf>
    <xf numFmtId="49" fontId="1" fillId="0" borderId="0" xfId="1" applyNumberFormat="1"/>
    <xf numFmtId="0" fontId="1" fillId="0" borderId="1" xfId="1" applyBorder="1" applyAlignment="1">
      <alignment horizontal="center" vertical="center"/>
    </xf>
    <xf numFmtId="0" fontId="2" fillId="9" borderId="5" xfId="1" applyFont="1" applyFill="1" applyBorder="1" applyAlignment="1">
      <alignment horizontal="center" vertical="center"/>
    </xf>
    <xf numFmtId="0" fontId="7" fillId="0" borderId="0" xfId="1" applyFont="1"/>
    <xf numFmtId="0" fontId="2" fillId="10" borderId="5" xfId="1" applyFont="1" applyFill="1" applyBorder="1" applyAlignment="1">
      <alignment horizontal="center" vertical="center"/>
    </xf>
    <xf numFmtId="0" fontId="0" fillId="0" borderId="0" xfId="0" applyAlignment="1">
      <alignment wrapText="1"/>
    </xf>
    <xf numFmtId="0" fontId="2" fillId="7" borderId="5" xfId="0" applyFont="1" applyFill="1" applyBorder="1" applyAlignment="1">
      <alignment horizontal="center" vertical="center"/>
    </xf>
    <xf numFmtId="0" fontId="0" fillId="8" borderId="1" xfId="0" applyFill="1" applyBorder="1" applyAlignment="1">
      <alignment horizontal="center"/>
    </xf>
    <xf numFmtId="0" fontId="2" fillId="8" borderId="1" xfId="0" applyFont="1" applyFill="1" applyBorder="1" applyAlignment="1">
      <alignment vertical="center"/>
    </xf>
    <xf numFmtId="0" fontId="9" fillId="0" borderId="0" xfId="0" applyFont="1" applyAlignment="1">
      <alignment wrapText="1"/>
    </xf>
    <xf numFmtId="0" fontId="1" fillId="8" borderId="0" xfId="1" applyFill="1"/>
    <xf numFmtId="0" fontId="1" fillId="0" borderId="1" xfId="1" applyBorder="1" applyAlignment="1">
      <alignment horizontal="center"/>
    </xf>
    <xf numFmtId="0" fontId="1" fillId="11" borderId="1" xfId="1" applyFill="1" applyBorder="1" applyAlignment="1">
      <alignment horizontal="center"/>
    </xf>
    <xf numFmtId="0" fontId="12" fillId="12" borderId="1" xfId="1" applyFont="1" applyFill="1" applyBorder="1" applyAlignment="1">
      <alignment horizontal="center"/>
    </xf>
    <xf numFmtId="0" fontId="1" fillId="13" borderId="1" xfId="1" applyFill="1" applyBorder="1" applyAlignment="1">
      <alignment horizontal="center"/>
    </xf>
    <xf numFmtId="0" fontId="1" fillId="0" borderId="1" xfId="1" applyBorder="1" applyAlignment="1">
      <alignment horizontal="center" vertical="center"/>
    </xf>
    <xf numFmtId="0" fontId="1" fillId="8" borderId="1" xfId="1" applyFill="1" applyBorder="1" applyAlignment="1">
      <alignment horizontal="left" vertical="center" wrapText="1"/>
    </xf>
    <xf numFmtId="0" fontId="1" fillId="8" borderId="0" xfId="1" applyFill="1" applyAlignment="1">
      <alignment horizontal="center" vertical="center"/>
    </xf>
    <xf numFmtId="0" fontId="1" fillId="8" borderId="1" xfId="1" quotePrefix="1" applyFill="1" applyBorder="1" applyAlignment="1">
      <alignment horizontal="left" vertical="center"/>
    </xf>
    <xf numFmtId="0" fontId="1" fillId="0" borderId="0" xfId="1" applyAlignment="1">
      <alignment vertical="center"/>
    </xf>
    <xf numFmtId="0" fontId="7" fillId="8" borderId="1" xfId="1" applyFont="1" applyFill="1" applyBorder="1" applyAlignment="1">
      <alignment horizontal="center" vertical="center"/>
    </xf>
    <xf numFmtId="0" fontId="7" fillId="0" borderId="1" xfId="1" applyFont="1" applyBorder="1" applyAlignment="1">
      <alignment horizontal="center" vertical="center"/>
    </xf>
    <xf numFmtId="0" fontId="7" fillId="16" borderId="1" xfId="1" applyFont="1" applyFill="1" applyBorder="1" applyAlignment="1">
      <alignment horizontal="center" vertical="center"/>
    </xf>
    <xf numFmtId="0" fontId="1" fillId="0" borderId="0" xfId="1" applyAlignment="1">
      <alignment horizontal="center" vertical="center"/>
    </xf>
    <xf numFmtId="0" fontId="1" fillId="8" borderId="0" xfId="1" applyFill="1" applyAlignment="1">
      <alignment vertical="center"/>
    </xf>
    <xf numFmtId="0" fontId="1" fillId="8" borderId="1" xfId="1" applyFill="1" applyBorder="1" applyAlignment="1">
      <alignment horizontal="left" vertical="center"/>
    </xf>
    <xf numFmtId="0" fontId="1" fillId="16" borderId="0" xfId="1" applyFill="1" applyAlignment="1">
      <alignment horizontal="center" vertical="center"/>
    </xf>
    <xf numFmtId="0" fontId="1" fillId="0" borderId="0" xfId="1" applyFill="1" applyAlignment="1">
      <alignment vertical="center"/>
    </xf>
    <xf numFmtId="0" fontId="7" fillId="0" borderId="0" xfId="1" applyFont="1" applyAlignment="1">
      <alignment vertical="center"/>
    </xf>
    <xf numFmtId="0" fontId="1" fillId="15" borderId="7" xfId="1" applyFill="1" applyBorder="1" applyAlignment="1">
      <alignment vertical="center"/>
    </xf>
    <xf numFmtId="0" fontId="7" fillId="16" borderId="8" xfId="1" applyFont="1" applyFill="1" applyBorder="1" applyAlignment="1">
      <alignment horizontal="center" vertical="center"/>
    </xf>
    <xf numFmtId="0" fontId="1" fillId="8" borderId="10" xfId="1" applyFill="1" applyBorder="1" applyAlignment="1">
      <alignment horizontal="center" vertical="center"/>
    </xf>
    <xf numFmtId="0" fontId="7" fillId="8" borderId="10" xfId="1" applyFont="1" applyFill="1" applyBorder="1" applyAlignment="1">
      <alignment horizontal="center" vertical="center"/>
    </xf>
    <xf numFmtId="0" fontId="7" fillId="16" borderId="10" xfId="1" applyFont="1" applyFill="1" applyBorder="1" applyAlignment="1">
      <alignment horizontal="center" vertical="center"/>
    </xf>
    <xf numFmtId="0" fontId="1" fillId="15" borderId="10" xfId="1" applyFill="1" applyBorder="1" applyAlignment="1">
      <alignment horizontal="center" vertical="center"/>
    </xf>
    <xf numFmtId="177" fontId="1" fillId="15" borderId="10" xfId="1" applyNumberFormat="1" applyFill="1" applyBorder="1" applyAlignment="1">
      <alignment horizontal="center" vertical="center"/>
    </xf>
    <xf numFmtId="0" fontId="7" fillId="15" borderId="10" xfId="1" applyFont="1" applyFill="1" applyBorder="1" applyAlignment="1">
      <alignment horizontal="center" vertical="center"/>
    </xf>
    <xf numFmtId="0" fontId="1" fillId="15" borderId="10" xfId="1" applyFill="1" applyBorder="1" applyAlignment="1">
      <alignment vertical="center"/>
    </xf>
    <xf numFmtId="0" fontId="7" fillId="14" borderId="8" xfId="1" applyFont="1" applyFill="1" applyBorder="1" applyAlignment="1">
      <alignment horizontal="center" vertical="center"/>
    </xf>
    <xf numFmtId="0" fontId="7" fillId="14" borderId="11" xfId="1" applyFont="1" applyFill="1" applyBorder="1" applyAlignment="1">
      <alignment horizontal="center" vertical="center"/>
    </xf>
    <xf numFmtId="0" fontId="1" fillId="0" borderId="9" xfId="1" applyBorder="1" applyAlignment="1">
      <alignment vertical="center"/>
    </xf>
    <xf numFmtId="177" fontId="1" fillId="8" borderId="10" xfId="1" applyNumberFormat="1" applyFill="1" applyBorder="1" applyAlignment="1">
      <alignment horizontal="center" vertical="center"/>
    </xf>
    <xf numFmtId="0" fontId="7" fillId="16" borderId="10" xfId="1" applyFont="1" applyFill="1" applyBorder="1" applyAlignment="1">
      <alignment horizontal="center" vertical="center" wrapText="1"/>
    </xf>
    <xf numFmtId="0" fontId="1" fillId="8" borderId="10" xfId="1" applyFill="1" applyBorder="1" applyAlignment="1">
      <alignment vertical="center"/>
    </xf>
    <xf numFmtId="0" fontId="1" fillId="0" borderId="8" xfId="1" applyBorder="1" applyAlignment="1">
      <alignment horizontal="center" vertical="center"/>
    </xf>
    <xf numFmtId="0" fontId="7" fillId="2" borderId="8" xfId="1" applyFont="1" applyFill="1" applyBorder="1" applyAlignment="1">
      <alignment horizontal="center" vertical="center"/>
    </xf>
    <xf numFmtId="0" fontId="1" fillId="0" borderId="8" xfId="1" applyBorder="1" applyAlignment="1">
      <alignment vertical="center"/>
    </xf>
    <xf numFmtId="0" fontId="1" fillId="0" borderId="8" xfId="1" applyBorder="1" applyAlignment="1">
      <alignment vertical="center" wrapText="1"/>
    </xf>
    <xf numFmtId="0" fontId="7" fillId="0" borderId="8" xfId="1" applyFont="1" applyBorder="1" applyAlignment="1">
      <alignment horizontal="center" vertical="center"/>
    </xf>
    <xf numFmtId="0" fontId="1" fillId="0" borderId="1" xfId="1" applyBorder="1" applyAlignment="1">
      <alignment horizontal="center" vertical="center"/>
    </xf>
    <xf numFmtId="176" fontId="2" fillId="0" borderId="1" xfId="0" applyNumberFormat="1" applyFont="1" applyFill="1" applyBorder="1" applyAlignment="1">
      <alignment horizontal="center" vertical="center"/>
    </xf>
    <xf numFmtId="176" fontId="10" fillId="0" borderId="1" xfId="0" applyNumberFormat="1" applyFont="1" applyFill="1" applyBorder="1" applyAlignment="1">
      <alignment horizontal="center" vertical="center"/>
    </xf>
    <xf numFmtId="176" fontId="11"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9" borderId="5" xfId="1" applyFont="1" applyFill="1" applyBorder="1" applyAlignment="1">
      <alignment horizontal="left" vertical="center"/>
    </xf>
    <xf numFmtId="0" fontId="2" fillId="10" borderId="5" xfId="1" applyFont="1" applyFill="1" applyBorder="1" applyAlignment="1">
      <alignment horizontal="left" vertical="center"/>
    </xf>
    <xf numFmtId="176" fontId="2" fillId="0" borderId="6" xfId="0" applyNumberFormat="1" applyFont="1" applyFill="1" applyBorder="1" applyAlignment="1">
      <alignment horizontal="center" vertical="center"/>
    </xf>
    <xf numFmtId="0" fontId="2" fillId="0" borderId="12" xfId="0" applyFont="1" applyFill="1" applyBorder="1" applyAlignment="1">
      <alignment horizontal="center" vertical="center"/>
    </xf>
    <xf numFmtId="0" fontId="2" fillId="0" borderId="13" xfId="0" applyFont="1" applyFill="1" applyBorder="1" applyAlignment="1">
      <alignment horizontal="center" vertical="center"/>
    </xf>
    <xf numFmtId="9" fontId="2" fillId="0" borderId="13" xfId="0" applyNumberFormat="1" applyFont="1" applyFill="1" applyBorder="1" applyAlignment="1">
      <alignment horizontal="center" vertical="center"/>
    </xf>
    <xf numFmtId="0" fontId="1" fillId="0" borderId="14" xfId="1" applyBorder="1" applyAlignment="1">
      <alignment vertical="center"/>
    </xf>
    <xf numFmtId="0" fontId="1" fillId="0" borderId="15" xfId="1" applyBorder="1" applyAlignment="1">
      <alignment horizontal="center" vertical="center"/>
    </xf>
    <xf numFmtId="0" fontId="1" fillId="0" borderId="14" xfId="1" applyBorder="1" applyAlignment="1">
      <alignment horizontal="center" vertical="center"/>
    </xf>
    <xf numFmtId="0" fontId="1" fillId="0" borderId="16" xfId="1" applyBorder="1" applyAlignment="1">
      <alignment horizontal="center" vertical="center"/>
    </xf>
    <xf numFmtId="0" fontId="7" fillId="0" borderId="16" xfId="1" applyFont="1" applyBorder="1" applyAlignment="1">
      <alignment horizontal="center" vertical="center"/>
    </xf>
    <xf numFmtId="0" fontId="7" fillId="16" borderId="15" xfId="1" applyFont="1" applyFill="1" applyBorder="1" applyAlignment="1">
      <alignment horizontal="center" vertical="center"/>
    </xf>
    <xf numFmtId="0" fontId="7" fillId="2" borderId="15" xfId="1" applyFont="1" applyFill="1" applyBorder="1" applyAlignment="1">
      <alignment horizontal="center" vertical="center"/>
    </xf>
    <xf numFmtId="0" fontId="1" fillId="8" borderId="15" xfId="1" applyFill="1" applyBorder="1" applyAlignment="1">
      <alignment horizontal="center" vertical="center"/>
    </xf>
    <xf numFmtId="0" fontId="1" fillId="8" borderId="15" xfId="1" applyFill="1" applyBorder="1" applyAlignment="1">
      <alignment horizontal="left" vertical="center" wrapText="1"/>
    </xf>
    <xf numFmtId="0" fontId="7" fillId="8" borderId="15" xfId="1" applyFont="1" applyFill="1" applyBorder="1" applyAlignment="1">
      <alignment horizontal="center" vertical="center"/>
    </xf>
    <xf numFmtId="0" fontId="1" fillId="8" borderId="17" xfId="1" applyFill="1" applyBorder="1" applyAlignment="1">
      <alignment horizontal="center" vertical="center"/>
    </xf>
    <xf numFmtId="0" fontId="1" fillId="0" borderId="1" xfId="1" applyBorder="1" applyAlignment="1">
      <alignment horizontal="center" vertical="center"/>
    </xf>
    <xf numFmtId="0" fontId="4" fillId="4" borderId="3" xfId="1" applyFont="1" applyFill="1" applyBorder="1" applyAlignment="1">
      <alignment horizontal="center" vertical="center"/>
    </xf>
    <xf numFmtId="0" fontId="4" fillId="4" borderId="1" xfId="1" applyFont="1" applyFill="1" applyBorder="1" applyAlignment="1">
      <alignment horizontal="center" vertical="center"/>
    </xf>
    <xf numFmtId="0" fontId="4" fillId="5" borderId="3" xfId="1" applyFont="1" applyFill="1" applyBorder="1" applyAlignment="1">
      <alignment horizontal="center" vertical="center" wrapText="1"/>
    </xf>
    <xf numFmtId="0" fontId="4" fillId="5" borderId="1" xfId="1" applyFont="1" applyFill="1" applyBorder="1" applyAlignment="1">
      <alignment horizontal="center" vertical="center" wrapText="1"/>
    </xf>
    <xf numFmtId="0" fontId="4" fillId="3" borderId="3"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4" fillId="3" borderId="3" xfId="1" applyFont="1" applyFill="1" applyBorder="1" applyAlignment="1">
      <alignment horizontal="center" vertical="center"/>
    </xf>
    <xf numFmtId="0" fontId="4" fillId="3" borderId="1" xfId="1" applyFont="1" applyFill="1" applyBorder="1" applyAlignment="1">
      <alignment horizontal="center" vertical="center"/>
    </xf>
    <xf numFmtId="0" fontId="4" fillId="3" borderId="2" xfId="1" applyFont="1" applyFill="1" applyBorder="1" applyAlignment="1">
      <alignment horizontal="center" vertical="center"/>
    </xf>
    <xf numFmtId="0" fontId="4" fillId="3" borderId="5" xfId="1" applyFont="1" applyFill="1" applyBorder="1" applyAlignment="1">
      <alignment horizontal="center" vertical="center"/>
    </xf>
    <xf numFmtId="0" fontId="4" fillId="3" borderId="4" xfId="1" applyFont="1" applyFill="1" applyBorder="1" applyAlignment="1">
      <alignment horizontal="center" vertical="center"/>
    </xf>
    <xf numFmtId="0" fontId="4" fillId="3" borderId="6" xfId="1" applyFont="1" applyFill="1" applyBorder="1" applyAlignment="1">
      <alignment horizontal="center" vertical="center"/>
    </xf>
    <xf numFmtId="0" fontId="13" fillId="0" borderId="0" xfId="1" applyFont="1"/>
    <xf numFmtId="0" fontId="13" fillId="0" borderId="0" xfId="0" applyFont="1" applyAlignment="1">
      <alignment horizontal="left" vertical="center"/>
    </xf>
    <xf numFmtId="0" fontId="13" fillId="0" borderId="0" xfId="0" applyFont="1" applyAlignment="1">
      <alignment vertical="center"/>
    </xf>
    <xf numFmtId="0" fontId="4" fillId="3" borderId="18" xfId="1" applyFont="1" applyFill="1" applyBorder="1" applyAlignment="1">
      <alignment horizontal="center" vertical="center"/>
    </xf>
    <xf numFmtId="0" fontId="4" fillId="3" borderId="19" xfId="1" applyFont="1" applyFill="1" applyBorder="1" applyAlignment="1">
      <alignment horizontal="center" vertical="center"/>
    </xf>
  </cellXfs>
  <cellStyles count="3">
    <cellStyle name="常规" xfId="0" builtinId="0"/>
    <cellStyle name="常规 10 2 2" xfId="2" xr:uid="{86CC4599-FA82-47BB-B5E3-B9613179A81E}"/>
    <cellStyle name="常规 3" xfId="1" xr:uid="{0DD0E46C-FCF4-4859-8C1A-D31AC7D7000B}"/>
  </cellStyles>
  <dxfs count="25">
    <dxf>
      <font>
        <color theme="7"/>
      </font>
      <fill>
        <patternFill patternType="darkUp">
          <fgColor auto="1"/>
          <bgColor auto="1"/>
        </patternFill>
      </fill>
    </dxf>
    <dxf>
      <font>
        <color theme="7"/>
      </font>
      <fill>
        <patternFill patternType="darkUp">
          <fgColor auto="1"/>
          <bgColor auto="1"/>
        </patternFill>
      </fill>
    </dxf>
    <dxf>
      <font>
        <strike val="0"/>
        <color auto="1"/>
      </font>
      <fill>
        <patternFill>
          <bgColor theme="9" tint="0.59996337778862885"/>
        </patternFill>
      </fill>
    </dxf>
    <dxf>
      <font>
        <strike val="0"/>
        <color auto="1"/>
      </font>
      <fill>
        <patternFill patternType="solid">
          <bgColor rgb="FFFFFF00"/>
        </patternFill>
      </fill>
    </dxf>
    <dxf>
      <font>
        <strike val="0"/>
        <color auto="1"/>
      </font>
      <fill>
        <patternFill>
          <bgColor rgb="FFFF0000"/>
        </patternFill>
      </fill>
    </dxf>
    <dxf>
      <font>
        <color theme="7"/>
      </font>
      <fill>
        <patternFill patternType="darkUp">
          <fgColor auto="1"/>
          <bgColor auto="1"/>
        </patternFill>
      </fill>
    </dxf>
    <dxf>
      <font>
        <color theme="7"/>
      </font>
      <fill>
        <patternFill patternType="darkUp">
          <fgColor auto="1"/>
          <bgColor auto="1"/>
        </patternFill>
      </fill>
    </dxf>
    <dxf>
      <font>
        <strike val="0"/>
        <color auto="1"/>
      </font>
      <fill>
        <patternFill>
          <bgColor theme="9" tint="0.59996337778862885"/>
        </patternFill>
      </fill>
    </dxf>
    <dxf>
      <font>
        <strike val="0"/>
        <color auto="1"/>
      </font>
      <fill>
        <patternFill patternType="solid">
          <bgColor rgb="FFFFFF00"/>
        </patternFill>
      </fill>
    </dxf>
    <dxf>
      <font>
        <strike val="0"/>
        <color auto="1"/>
      </font>
      <fill>
        <patternFill>
          <bgColor rgb="FFFF0000"/>
        </patternFill>
      </fill>
    </dxf>
    <dxf>
      <font>
        <color theme="7"/>
      </font>
      <fill>
        <patternFill patternType="darkUp">
          <fgColor auto="1"/>
          <bgColor auto="1"/>
        </patternFill>
      </fill>
    </dxf>
    <dxf>
      <font>
        <color theme="7"/>
      </font>
      <fill>
        <patternFill patternType="darkUp">
          <fgColor auto="1"/>
          <bgColor auto="1"/>
        </patternFill>
      </fill>
    </dxf>
    <dxf>
      <font>
        <strike val="0"/>
        <color auto="1"/>
      </font>
      <fill>
        <patternFill>
          <bgColor theme="9" tint="0.59996337778862885"/>
        </patternFill>
      </fill>
    </dxf>
    <dxf>
      <font>
        <strike val="0"/>
        <color auto="1"/>
      </font>
      <fill>
        <patternFill patternType="solid">
          <bgColor rgb="FFFFFF00"/>
        </patternFill>
      </fill>
    </dxf>
    <dxf>
      <font>
        <strike val="0"/>
        <color auto="1"/>
      </font>
      <fill>
        <patternFill>
          <bgColor rgb="FFFF0000"/>
        </patternFill>
      </fill>
    </dxf>
    <dxf>
      <font>
        <color theme="7"/>
      </font>
      <fill>
        <patternFill patternType="darkUp">
          <fgColor auto="1"/>
          <bgColor auto="1"/>
        </patternFill>
      </fill>
    </dxf>
    <dxf>
      <font>
        <color theme="7"/>
      </font>
      <fill>
        <patternFill patternType="darkUp">
          <fgColor auto="1"/>
          <bgColor auto="1"/>
        </patternFill>
      </fill>
    </dxf>
    <dxf>
      <font>
        <strike val="0"/>
        <color auto="1"/>
      </font>
      <fill>
        <patternFill>
          <bgColor theme="9" tint="0.59996337778862885"/>
        </patternFill>
      </fill>
    </dxf>
    <dxf>
      <font>
        <strike val="0"/>
        <color auto="1"/>
      </font>
      <fill>
        <patternFill patternType="solid">
          <bgColor rgb="FFFFFF00"/>
        </patternFill>
      </fill>
    </dxf>
    <dxf>
      <font>
        <strike val="0"/>
        <color auto="1"/>
      </font>
      <fill>
        <patternFill>
          <bgColor rgb="FFFF0000"/>
        </patternFill>
      </fill>
    </dxf>
    <dxf>
      <font>
        <color theme="7"/>
      </font>
      <fill>
        <patternFill patternType="darkUp">
          <fgColor auto="1"/>
          <bgColor auto="1"/>
        </patternFill>
      </fill>
    </dxf>
    <dxf>
      <font>
        <color theme="7"/>
      </font>
      <fill>
        <patternFill patternType="darkUp">
          <fgColor auto="1"/>
          <bgColor auto="1"/>
        </patternFill>
      </fill>
    </dxf>
    <dxf>
      <font>
        <strike val="0"/>
        <color auto="1"/>
      </font>
      <fill>
        <patternFill>
          <bgColor theme="9" tint="0.59996337778862885"/>
        </patternFill>
      </fill>
    </dxf>
    <dxf>
      <font>
        <strike val="0"/>
        <color auto="1"/>
      </font>
      <fill>
        <patternFill patternType="solid">
          <bgColor rgb="FFFFFF00"/>
        </patternFill>
      </fill>
    </dxf>
    <dxf>
      <font>
        <strike val="0"/>
        <color auto="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BAD5D-F0CC-496F-B761-E8FBDF5725A6}">
  <dimension ref="A1:P18"/>
  <sheetViews>
    <sheetView topLeftCell="A7" workbookViewId="0">
      <selection activeCell="N11" sqref="N11"/>
    </sheetView>
  </sheetViews>
  <sheetFormatPr defaultColWidth="9" defaultRowHeight="13.8" outlineLevelRow="1" x14ac:dyDescent="0.25"/>
  <cols>
    <col min="1" max="2" width="9" style="26"/>
    <col min="3" max="3" width="28.109375" style="26" customWidth="1"/>
    <col min="4" max="4" width="9" style="26"/>
    <col min="5" max="5" width="11.21875" style="30" customWidth="1"/>
    <col min="6" max="6" width="4.88671875" style="26" customWidth="1"/>
    <col min="7" max="7" width="6.6640625" style="26" customWidth="1"/>
    <col min="8" max="9" width="4.88671875" style="26" customWidth="1"/>
    <col min="10" max="10" width="28.33203125" style="26" customWidth="1"/>
    <col min="11" max="11" width="9.88671875" style="35" customWidth="1"/>
    <col min="12" max="13" width="10.77734375" style="35" customWidth="1"/>
    <col min="14" max="14" width="45.33203125" style="35" bestFit="1" customWidth="1"/>
    <col min="15" max="16" width="10.33203125" style="26" customWidth="1"/>
    <col min="17" max="16384" width="9" style="26"/>
  </cols>
  <sheetData>
    <row r="1" spans="1:16" s="47" customFormat="1" ht="14.4" thickBot="1" x14ac:dyDescent="0.3">
      <c r="A1" s="45" t="s">
        <v>0</v>
      </c>
      <c r="B1" s="45" t="s">
        <v>128</v>
      </c>
      <c r="C1" s="45" t="s">
        <v>134</v>
      </c>
      <c r="D1" s="45" t="s">
        <v>135</v>
      </c>
      <c r="E1" s="46" t="s">
        <v>136</v>
      </c>
      <c r="F1" s="45" t="s">
        <v>137</v>
      </c>
      <c r="G1" s="45" t="s">
        <v>138</v>
      </c>
      <c r="H1" s="45" t="s">
        <v>139</v>
      </c>
      <c r="I1" s="45" t="s">
        <v>140</v>
      </c>
      <c r="J1" s="45" t="s">
        <v>141</v>
      </c>
      <c r="K1" s="45" t="s">
        <v>142</v>
      </c>
      <c r="L1" s="45" t="s">
        <v>143</v>
      </c>
      <c r="M1" s="45" t="s">
        <v>143</v>
      </c>
      <c r="N1" s="45" t="s">
        <v>143</v>
      </c>
      <c r="O1" s="45" t="s">
        <v>144</v>
      </c>
      <c r="P1" s="45" t="s">
        <v>145</v>
      </c>
    </row>
    <row r="2" spans="1:16" s="36" customFormat="1" x14ac:dyDescent="0.25">
      <c r="A2" s="41">
        <v>1</v>
      </c>
      <c r="B2" s="41" t="s">
        <v>146</v>
      </c>
      <c r="C2" s="41" t="s">
        <v>147</v>
      </c>
      <c r="D2" s="42">
        <v>1</v>
      </c>
      <c r="E2" s="41"/>
      <c r="F2" s="41"/>
      <c r="G2" s="41"/>
      <c r="H2" s="41"/>
      <c r="I2" s="41"/>
      <c r="J2" s="41"/>
      <c r="K2" s="43"/>
      <c r="L2" s="40"/>
      <c r="M2" s="40"/>
      <c r="N2" s="40"/>
      <c r="O2" s="41"/>
      <c r="P2" s="44"/>
    </row>
    <row r="3" spans="1:16" s="67" customFormat="1" ht="14.4" outlineLevel="1" thickBot="1" x14ac:dyDescent="0.3">
      <c r="C3" s="68" t="s">
        <v>148</v>
      </c>
      <c r="D3" s="68">
        <v>1</v>
      </c>
      <c r="E3" s="69">
        <v>0</v>
      </c>
      <c r="F3" s="68">
        <v>8</v>
      </c>
      <c r="G3" s="68">
        <v>0</v>
      </c>
      <c r="H3" s="68">
        <v>1</v>
      </c>
      <c r="I3" s="68" t="s">
        <v>149</v>
      </c>
      <c r="J3" s="70"/>
      <c r="K3" s="71">
        <v>16</v>
      </c>
      <c r="L3" s="72"/>
      <c r="M3" s="72" t="str">
        <f t="shared" ref="M3:M6" si="0">"0x"&amp;DEC2HEX(MOD(K3,256),2)</f>
        <v>0x10</v>
      </c>
      <c r="N3" s="73" t="str">
        <f>"["&amp;_xlfn.TEXTJOIN(" ",TRUE,L3:M3)&amp;"]"</f>
        <v>[0x10]</v>
      </c>
      <c r="O3" s="68">
        <v>6</v>
      </c>
      <c r="P3" s="68">
        <v>64</v>
      </c>
    </row>
    <row r="4" spans="1:16" s="31" customFormat="1" ht="15.6" customHeight="1" thickTop="1" x14ac:dyDescent="0.25">
      <c r="A4" s="38">
        <v>2</v>
      </c>
      <c r="B4" s="38" t="s">
        <v>150</v>
      </c>
      <c r="C4" s="38" t="s">
        <v>151</v>
      </c>
      <c r="D4" s="48">
        <v>8</v>
      </c>
      <c r="E4" s="38"/>
      <c r="F4" s="38"/>
      <c r="G4" s="38"/>
      <c r="H4" s="38"/>
      <c r="I4" s="38"/>
      <c r="J4" s="38"/>
      <c r="K4" s="39"/>
      <c r="L4" s="49"/>
      <c r="M4" s="49"/>
      <c r="N4" s="49"/>
      <c r="O4" s="38"/>
      <c r="P4" s="50"/>
    </row>
    <row r="5" spans="1:16" s="24" customFormat="1" outlineLevel="1" x14ac:dyDescent="0.25">
      <c r="A5" s="4"/>
      <c r="B5" s="4"/>
      <c r="C5" s="23" t="s">
        <v>152</v>
      </c>
      <c r="D5" s="4">
        <v>1</v>
      </c>
      <c r="E5" s="4">
        <v>0</v>
      </c>
      <c r="F5" s="4">
        <v>8</v>
      </c>
      <c r="G5" s="4"/>
      <c r="H5" s="4"/>
      <c r="I5" s="4" t="s">
        <v>153</v>
      </c>
      <c r="J5" s="23"/>
      <c r="K5" s="27">
        <v>20</v>
      </c>
      <c r="L5" s="29"/>
      <c r="M5" s="29" t="str">
        <f t="shared" si="0"/>
        <v>0x14</v>
      </c>
      <c r="N5" s="29"/>
      <c r="O5" s="4" t="s">
        <v>154</v>
      </c>
      <c r="P5" s="4" t="s">
        <v>155</v>
      </c>
    </row>
    <row r="6" spans="1:16" s="24" customFormat="1" outlineLevel="1" x14ac:dyDescent="0.25">
      <c r="A6" s="4"/>
      <c r="B6" s="4"/>
      <c r="C6" s="23" t="s">
        <v>156</v>
      </c>
      <c r="D6" s="4">
        <v>1</v>
      </c>
      <c r="E6" s="4">
        <v>1</v>
      </c>
      <c r="F6" s="4">
        <v>8</v>
      </c>
      <c r="G6" s="4"/>
      <c r="H6" s="4"/>
      <c r="I6" s="4" t="s">
        <v>157</v>
      </c>
      <c r="J6" s="25" t="s">
        <v>158</v>
      </c>
      <c r="K6" s="27">
        <v>90</v>
      </c>
      <c r="L6" s="29"/>
      <c r="M6" s="29" t="str">
        <f t="shared" si="0"/>
        <v>0x5A</v>
      </c>
      <c r="N6" s="29"/>
      <c r="O6" s="4">
        <v>1</v>
      </c>
      <c r="P6" s="4">
        <v>65535</v>
      </c>
    </row>
    <row r="7" spans="1:16" s="24" customFormat="1" outlineLevel="1" x14ac:dyDescent="0.25">
      <c r="A7" s="4"/>
      <c r="B7" s="4"/>
      <c r="C7" s="23" t="s">
        <v>159</v>
      </c>
      <c r="D7" s="4">
        <v>2</v>
      </c>
      <c r="E7" s="4">
        <v>2</v>
      </c>
      <c r="F7" s="4">
        <v>16</v>
      </c>
      <c r="G7" s="4"/>
      <c r="H7" s="4"/>
      <c r="I7" s="4" t="s">
        <v>153</v>
      </c>
      <c r="J7" s="32"/>
      <c r="K7" s="27">
        <v>3630</v>
      </c>
      <c r="L7" s="29" t="str">
        <f>"0x"&amp;DEC2HEX(K7/256,2)</f>
        <v>0x0E</v>
      </c>
      <c r="M7" s="29" t="str">
        <f>"0x"&amp;DEC2HEX(MOD(K7,256),2)</f>
        <v>0x2E</v>
      </c>
      <c r="N7" s="33"/>
      <c r="O7" s="4">
        <v>100</v>
      </c>
      <c r="P7" s="4">
        <v>65535</v>
      </c>
    </row>
    <row r="8" spans="1:16" s="24" customFormat="1" outlineLevel="1" x14ac:dyDescent="0.25">
      <c r="A8" s="4"/>
      <c r="B8" s="4"/>
      <c r="C8" s="23" t="s">
        <v>160</v>
      </c>
      <c r="D8" s="4">
        <v>2</v>
      </c>
      <c r="E8" s="4">
        <v>4</v>
      </c>
      <c r="F8" s="4">
        <v>16</v>
      </c>
      <c r="G8" s="4"/>
      <c r="H8" s="4"/>
      <c r="I8" s="4" t="s">
        <v>153</v>
      </c>
      <c r="J8" s="32"/>
      <c r="K8" s="27">
        <v>3100</v>
      </c>
      <c r="L8" s="29" t="str">
        <f t="shared" ref="L8:L9" si="1">"0x"&amp;DEC2HEX(K8/256,2)</f>
        <v>0x0C</v>
      </c>
      <c r="M8" s="29" t="str">
        <f t="shared" ref="M8:M12" si="2">"0x"&amp;DEC2HEX(MOD(K8,256),2)</f>
        <v>0x1C</v>
      </c>
      <c r="N8" s="29"/>
      <c r="O8" s="4">
        <v>10</v>
      </c>
      <c r="P8" s="4">
        <v>5000</v>
      </c>
    </row>
    <row r="9" spans="1:16" s="77" customFormat="1" ht="14.4" outlineLevel="1" thickBot="1" x14ac:dyDescent="0.3">
      <c r="A9" s="74"/>
      <c r="B9" s="74"/>
      <c r="C9" s="75" t="s">
        <v>161</v>
      </c>
      <c r="D9" s="74">
        <v>2</v>
      </c>
      <c r="E9" s="74">
        <v>6</v>
      </c>
      <c r="F9" s="74">
        <v>16</v>
      </c>
      <c r="G9" s="74"/>
      <c r="H9" s="74"/>
      <c r="I9" s="74" t="s">
        <v>162</v>
      </c>
      <c r="J9" s="74"/>
      <c r="K9" s="76">
        <v>500</v>
      </c>
      <c r="L9" s="72" t="str">
        <f t="shared" si="1"/>
        <v>0x01</v>
      </c>
      <c r="M9" s="72" t="str">
        <f t="shared" si="2"/>
        <v>0xF4</v>
      </c>
      <c r="N9" s="73" t="str">
        <f>"["&amp;_xlfn.TEXTJOIN(" ",TRUE,L5:M9)&amp;"]"</f>
        <v>[0x14 0x5A 0x0E 0x2E 0x0C 0x1C 0x01 0xF4]</v>
      </c>
      <c r="O9" s="74">
        <v>1</v>
      </c>
      <c r="P9" s="74">
        <v>255</v>
      </c>
    </row>
    <row r="10" spans="1:16" ht="14.4" thickTop="1" x14ac:dyDescent="0.25">
      <c r="A10" s="41">
        <v>3</v>
      </c>
      <c r="B10" s="41" t="s">
        <v>163</v>
      </c>
      <c r="C10" s="41" t="s">
        <v>164</v>
      </c>
      <c r="D10" s="42">
        <v>2</v>
      </c>
      <c r="E10" s="41"/>
      <c r="F10" s="41"/>
      <c r="G10" s="41"/>
      <c r="H10" s="41"/>
      <c r="I10" s="41"/>
      <c r="J10" s="41"/>
      <c r="K10" s="43"/>
      <c r="L10" s="40"/>
      <c r="M10" s="40"/>
      <c r="N10" s="40"/>
      <c r="O10" s="41"/>
      <c r="P10" s="44"/>
    </row>
    <row r="11" spans="1:16" s="30" customFormat="1" outlineLevel="1" x14ac:dyDescent="0.25">
      <c r="A11" s="22"/>
      <c r="B11" s="22"/>
      <c r="C11" s="22" t="s">
        <v>165</v>
      </c>
      <c r="D11" s="22">
        <v>1</v>
      </c>
      <c r="E11" s="22">
        <v>0</v>
      </c>
      <c r="F11" s="22">
        <v>8</v>
      </c>
      <c r="G11" s="22">
        <v>0</v>
      </c>
      <c r="H11" s="22">
        <v>1</v>
      </c>
      <c r="I11" s="22" t="s">
        <v>166</v>
      </c>
      <c r="J11" s="22"/>
      <c r="K11" s="28">
        <v>16</v>
      </c>
      <c r="L11" s="29"/>
      <c r="M11" s="29" t="str">
        <f t="shared" si="2"/>
        <v>0x10</v>
      </c>
      <c r="N11" s="29"/>
      <c r="O11" s="22">
        <v>6</v>
      </c>
      <c r="P11" s="22">
        <v>64</v>
      </c>
    </row>
    <row r="12" spans="1:16" s="47" customFormat="1" ht="28.2" outlineLevel="1" thickBot="1" x14ac:dyDescent="0.3">
      <c r="A12" s="53"/>
      <c r="B12" s="53"/>
      <c r="C12" s="51" t="s">
        <v>167</v>
      </c>
      <c r="D12" s="51">
        <v>1</v>
      </c>
      <c r="E12" s="51">
        <v>1</v>
      </c>
      <c r="F12" s="51">
        <v>8</v>
      </c>
      <c r="G12" s="51">
        <v>0</v>
      </c>
      <c r="H12" s="51">
        <v>1</v>
      </c>
      <c r="I12" s="51" t="s">
        <v>162</v>
      </c>
      <c r="J12" s="54" t="s">
        <v>168</v>
      </c>
      <c r="K12" s="55">
        <v>0</v>
      </c>
      <c r="L12" s="37"/>
      <c r="M12" s="37" t="str">
        <f t="shared" si="2"/>
        <v>0x00</v>
      </c>
      <c r="N12" s="52" t="str">
        <f>"["&amp;_xlfn.TEXTJOIN(" ",TRUE,L11:M12)&amp;"]"</f>
        <v>[0x10 0x00]</v>
      </c>
      <c r="O12" s="53"/>
      <c r="P12" s="53"/>
    </row>
    <row r="18" spans="3:3" s="26" customFormat="1" x14ac:dyDescent="0.25">
      <c r="C18" s="34"/>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5D25-6136-452A-8EA6-FAF1D8D251CD}">
  <dimension ref="A1:AY58"/>
  <sheetViews>
    <sheetView tabSelected="1" topLeftCell="A10" workbookViewId="0">
      <pane xSplit="2" topLeftCell="C1" activePane="topRight" state="frozen"/>
      <selection activeCell="A18" sqref="A18"/>
      <selection pane="topRight" activeCell="O11" sqref="O11"/>
    </sheetView>
  </sheetViews>
  <sheetFormatPr defaultColWidth="9" defaultRowHeight="13.8" x14ac:dyDescent="0.25"/>
  <cols>
    <col min="1" max="1" width="6.33203125" style="2" bestFit="1" customWidth="1"/>
    <col min="2" max="2" width="7.6640625" style="2" bestFit="1" customWidth="1"/>
    <col min="3" max="3" width="15.77734375" style="2" customWidth="1"/>
    <col min="4" max="4" width="8" style="2" bestFit="1" customWidth="1"/>
    <col min="5" max="5" width="15.88671875" style="2" bestFit="1" customWidth="1"/>
    <col min="6" max="7" width="8" style="2" bestFit="1" customWidth="1"/>
    <col min="8" max="8" width="12.21875" style="2" bestFit="1" customWidth="1"/>
    <col min="9" max="10" width="8" style="2" bestFit="1" customWidth="1"/>
    <col min="11" max="11" width="12.21875" style="2" bestFit="1" customWidth="1"/>
    <col min="12" max="13" width="8" style="2" bestFit="1" customWidth="1"/>
    <col min="14" max="14" width="12.21875" style="2" bestFit="1" customWidth="1"/>
    <col min="15" max="15" width="10.88671875" style="2" bestFit="1" customWidth="1"/>
    <col min="16" max="21" width="4.6640625" style="2" bestFit="1" customWidth="1"/>
    <col min="22" max="31" width="4.77734375" style="2" bestFit="1" customWidth="1"/>
    <col min="32" max="37" width="5.77734375" style="2" bestFit="1" customWidth="1"/>
    <col min="38" max="38" width="5.77734375" style="2" customWidth="1"/>
    <col min="39" max="39" width="8.88671875" customWidth="1"/>
    <col min="40" max="50" width="9" style="2"/>
    <col min="51" max="51" width="10" style="2" bestFit="1" customWidth="1"/>
    <col min="52" max="16384" width="9" style="2"/>
  </cols>
  <sheetData>
    <row r="1" spans="1:38" x14ac:dyDescent="0.25">
      <c r="A1" s="94" t="s">
        <v>0</v>
      </c>
      <c r="B1" s="85" t="s">
        <v>1</v>
      </c>
      <c r="C1" s="85" t="s">
        <v>2</v>
      </c>
      <c r="D1" s="85" t="s">
        <v>3</v>
      </c>
      <c r="E1" s="83" t="s">
        <v>4</v>
      </c>
      <c r="F1" s="79" t="s">
        <v>5</v>
      </c>
      <c r="G1" s="79" t="s">
        <v>6</v>
      </c>
      <c r="H1" s="81" t="s">
        <v>7</v>
      </c>
      <c r="I1" s="79" t="s">
        <v>8</v>
      </c>
      <c r="J1" s="79" t="s">
        <v>6</v>
      </c>
      <c r="K1" s="81" t="s">
        <v>7</v>
      </c>
      <c r="L1" s="79" t="s">
        <v>9</v>
      </c>
      <c r="M1" s="79" t="s">
        <v>6</v>
      </c>
      <c r="N1" s="81" t="s">
        <v>7</v>
      </c>
      <c r="O1" s="83" t="s">
        <v>10</v>
      </c>
      <c r="P1" s="83" t="s">
        <v>11</v>
      </c>
      <c r="Q1" s="85" t="s">
        <v>12</v>
      </c>
      <c r="R1" s="85" t="s">
        <v>13</v>
      </c>
      <c r="S1" s="89" t="s">
        <v>14</v>
      </c>
      <c r="T1" s="1" t="s">
        <v>15</v>
      </c>
      <c r="U1" s="1" t="s">
        <v>16</v>
      </c>
      <c r="V1" s="78" t="s">
        <v>17</v>
      </c>
      <c r="W1" s="78"/>
      <c r="X1" s="78"/>
      <c r="Y1" s="78"/>
      <c r="Z1" s="78"/>
      <c r="AA1" s="78"/>
      <c r="AB1" s="78"/>
      <c r="AC1" s="78"/>
      <c r="AD1" s="78"/>
      <c r="AE1" s="78"/>
      <c r="AF1" s="78"/>
      <c r="AG1" s="78"/>
      <c r="AH1" s="78"/>
      <c r="AI1" s="78"/>
      <c r="AJ1" s="78"/>
      <c r="AK1" s="78"/>
      <c r="AL1" s="78"/>
    </row>
    <row r="2" spans="1:38" x14ac:dyDescent="0.25">
      <c r="A2" s="95"/>
      <c r="B2" s="86"/>
      <c r="C2" s="86"/>
      <c r="D2" s="86"/>
      <c r="E2" s="84"/>
      <c r="F2" s="80"/>
      <c r="G2" s="80"/>
      <c r="H2" s="82"/>
      <c r="I2" s="80"/>
      <c r="J2" s="80"/>
      <c r="K2" s="82"/>
      <c r="L2" s="80"/>
      <c r="M2" s="80"/>
      <c r="N2" s="82"/>
      <c r="O2" s="84"/>
      <c r="P2" s="84"/>
      <c r="Q2" s="86"/>
      <c r="R2" s="86"/>
      <c r="S2" s="90"/>
      <c r="T2" s="1">
        <v>18</v>
      </c>
      <c r="U2" s="1">
        <v>1</v>
      </c>
      <c r="V2" s="3" t="s">
        <v>18</v>
      </c>
      <c r="W2" s="3" t="s">
        <v>19</v>
      </c>
      <c r="X2" s="3" t="s">
        <v>20</v>
      </c>
      <c r="Y2" s="3" t="s">
        <v>21</v>
      </c>
      <c r="Z2" s="3" t="s">
        <v>22</v>
      </c>
      <c r="AA2" s="3" t="s">
        <v>23</v>
      </c>
      <c r="AB2" s="3" t="s">
        <v>24</v>
      </c>
      <c r="AC2" s="3" t="s">
        <v>25</v>
      </c>
      <c r="AD2" s="3" t="s">
        <v>26</v>
      </c>
      <c r="AE2" s="3" t="s">
        <v>27</v>
      </c>
      <c r="AF2" s="3" t="s">
        <v>28</v>
      </c>
      <c r="AG2" s="3" t="s">
        <v>29</v>
      </c>
      <c r="AH2" s="3" t="s">
        <v>30</v>
      </c>
      <c r="AI2" s="3" t="s">
        <v>31</v>
      </c>
      <c r="AJ2" s="3" t="s">
        <v>32</v>
      </c>
      <c r="AK2" s="3" t="s">
        <v>33</v>
      </c>
      <c r="AL2" s="3" t="s">
        <v>34</v>
      </c>
    </row>
    <row r="3" spans="1:38" x14ac:dyDescent="0.25">
      <c r="A3" s="9">
        <v>1</v>
      </c>
      <c r="B3" s="4" t="s">
        <v>35</v>
      </c>
      <c r="C3" s="61" t="s">
        <v>36</v>
      </c>
      <c r="D3" s="57">
        <v>3</v>
      </c>
      <c r="E3" s="57">
        <v>2</v>
      </c>
      <c r="F3" s="57">
        <v>3550</v>
      </c>
      <c r="G3" s="57">
        <v>0</v>
      </c>
      <c r="H3" s="57">
        <v>17</v>
      </c>
      <c r="I3" s="57">
        <v>3500</v>
      </c>
      <c r="J3" s="57">
        <v>3455</v>
      </c>
      <c r="K3" s="57">
        <v>16</v>
      </c>
      <c r="L3" s="57">
        <v>3455</v>
      </c>
      <c r="M3" s="57">
        <v>3450</v>
      </c>
      <c r="N3" s="63">
        <v>16</v>
      </c>
      <c r="O3" s="65" t="s">
        <v>37</v>
      </c>
      <c r="P3" s="60" t="s">
        <v>38</v>
      </c>
      <c r="Q3" s="60">
        <v>1</v>
      </c>
      <c r="R3" s="60">
        <v>2</v>
      </c>
      <c r="S3" s="64">
        <v>3</v>
      </c>
      <c r="T3"/>
      <c r="U3"/>
      <c r="V3" s="3" t="str">
        <f t="shared" ref="V3:V27" si="0">DEC2HEX(D3,2)</f>
        <v>03</v>
      </c>
      <c r="W3" s="3" t="str">
        <f t="shared" ref="W3:W27" si="1">DEC2HEX(E3,2)</f>
        <v>02</v>
      </c>
      <c r="X3" s="3" t="str">
        <f t="shared" ref="X3:X27" si="2">DEC2HEX(F3/256,2)</f>
        <v>0D</v>
      </c>
      <c r="Y3" s="3" t="str">
        <f t="shared" ref="Y3:Y27" si="3">DEC2HEX(MOD(F3,256),2)</f>
        <v>DE</v>
      </c>
      <c r="Z3" s="3" t="str">
        <f t="shared" ref="Z3:Z27" si="4">DEC2HEX(G3/256,2)</f>
        <v>00</v>
      </c>
      <c r="AA3" s="3" t="str">
        <f t="shared" ref="AA3:AA27" si="5">DEC2HEX(MOD(G3,256),2)</f>
        <v>00</v>
      </c>
      <c r="AB3" s="3" t="str">
        <f t="shared" ref="AB3:AB27" si="6">DEC2HEX(H3,2)</f>
        <v>11</v>
      </c>
      <c r="AC3" s="3" t="str">
        <f t="shared" ref="AC3:AC27" si="7">DEC2HEX(I3/256,2)</f>
        <v>0D</v>
      </c>
      <c r="AD3" s="3" t="str">
        <f t="shared" ref="AD3:AD27" si="8">DEC2HEX(MOD(I3,256),2)</f>
        <v>AC</v>
      </c>
      <c r="AE3" s="3" t="str">
        <f t="shared" ref="AE3:AE27" si="9">DEC2HEX(J3/256,2)</f>
        <v>0D</v>
      </c>
      <c r="AF3" s="3" t="str">
        <f t="shared" ref="AF3:AF27" si="10">DEC2HEX(MOD(J3,256),2)</f>
        <v>7F</v>
      </c>
      <c r="AG3" s="3" t="str">
        <f t="shared" ref="AG3:AG27" si="11">DEC2HEX(K3,2)</f>
        <v>10</v>
      </c>
      <c r="AH3" s="3" t="str">
        <f t="shared" ref="AH3:AH27" si="12">DEC2HEX(L3/256,2)</f>
        <v>0D</v>
      </c>
      <c r="AI3" s="3" t="str">
        <f t="shared" ref="AI3:AI27" si="13">DEC2HEX(MOD(L3,256),2)</f>
        <v>7F</v>
      </c>
      <c r="AJ3" s="3" t="str">
        <f t="shared" ref="AJ3:AJ27" si="14">DEC2HEX(M3/256,2)</f>
        <v>0D</v>
      </c>
      <c r="AK3" s="3" t="str">
        <f t="shared" ref="AK3:AK27" si="15">DEC2HEX(MOD(M3,256),2)</f>
        <v>7A</v>
      </c>
      <c r="AL3" s="3" t="str">
        <f t="shared" ref="AL3:AL27" si="16">DEC2HEX(N3,2)</f>
        <v>10</v>
      </c>
    </row>
    <row r="4" spans="1:38" x14ac:dyDescent="0.25">
      <c r="A4" s="9">
        <v>2</v>
      </c>
      <c r="B4" s="5" t="s">
        <v>39</v>
      </c>
      <c r="C4" s="61" t="s">
        <v>40</v>
      </c>
      <c r="D4" s="57">
        <v>3</v>
      </c>
      <c r="E4" s="57">
        <v>2</v>
      </c>
      <c r="F4" s="57">
        <v>2850</v>
      </c>
      <c r="G4" s="57">
        <v>4500</v>
      </c>
      <c r="H4" s="57">
        <v>14</v>
      </c>
      <c r="I4" s="57">
        <v>2900</v>
      </c>
      <c r="J4" s="57">
        <v>2950</v>
      </c>
      <c r="K4" s="57">
        <v>9</v>
      </c>
      <c r="L4" s="57">
        <v>2950</v>
      </c>
      <c r="M4" s="57">
        <v>3000</v>
      </c>
      <c r="N4" s="63">
        <v>9</v>
      </c>
      <c r="O4" s="65" t="s">
        <v>37</v>
      </c>
      <c r="P4" s="60" t="s">
        <v>41</v>
      </c>
      <c r="Q4" s="60">
        <v>4</v>
      </c>
      <c r="R4" s="60">
        <v>5</v>
      </c>
      <c r="S4" s="64">
        <v>6</v>
      </c>
      <c r="V4" s="3" t="str">
        <f t="shared" si="0"/>
        <v>03</v>
      </c>
      <c r="W4" s="3" t="str">
        <f t="shared" si="1"/>
        <v>02</v>
      </c>
      <c r="X4" s="3" t="str">
        <f t="shared" si="2"/>
        <v>0B</v>
      </c>
      <c r="Y4" s="3" t="str">
        <f t="shared" si="3"/>
        <v>22</v>
      </c>
      <c r="Z4" s="3" t="str">
        <f t="shared" si="4"/>
        <v>11</v>
      </c>
      <c r="AA4" s="3" t="str">
        <f t="shared" si="5"/>
        <v>94</v>
      </c>
      <c r="AB4" s="3" t="str">
        <f t="shared" si="6"/>
        <v>0E</v>
      </c>
      <c r="AC4" s="3" t="str">
        <f t="shared" si="7"/>
        <v>0B</v>
      </c>
      <c r="AD4" s="3" t="str">
        <f t="shared" si="8"/>
        <v>54</v>
      </c>
      <c r="AE4" s="3" t="str">
        <f t="shared" si="9"/>
        <v>0B</v>
      </c>
      <c r="AF4" s="3" t="str">
        <f t="shared" si="10"/>
        <v>86</v>
      </c>
      <c r="AG4" s="3" t="str">
        <f t="shared" si="11"/>
        <v>09</v>
      </c>
      <c r="AH4" s="3" t="str">
        <f t="shared" si="12"/>
        <v>0B</v>
      </c>
      <c r="AI4" s="3" t="str">
        <f t="shared" si="13"/>
        <v>86</v>
      </c>
      <c r="AJ4" s="3" t="str">
        <f t="shared" si="14"/>
        <v>0B</v>
      </c>
      <c r="AK4" s="3" t="str">
        <f t="shared" si="15"/>
        <v>B8</v>
      </c>
      <c r="AL4" s="3" t="str">
        <f t="shared" si="16"/>
        <v>09</v>
      </c>
    </row>
    <row r="5" spans="1:38" x14ac:dyDescent="0.25">
      <c r="A5" s="9">
        <v>3</v>
      </c>
      <c r="B5" s="5" t="s">
        <v>42</v>
      </c>
      <c r="C5" s="61" t="s">
        <v>43</v>
      </c>
      <c r="D5" s="57">
        <v>3</v>
      </c>
      <c r="E5" s="57">
        <v>5</v>
      </c>
      <c r="F5" s="57">
        <v>250</v>
      </c>
      <c r="G5" s="57">
        <v>0</v>
      </c>
      <c r="H5" s="58">
        <v>17</v>
      </c>
      <c r="I5" s="57">
        <v>200</v>
      </c>
      <c r="J5" s="57">
        <v>195</v>
      </c>
      <c r="K5" s="57">
        <v>11</v>
      </c>
      <c r="L5" s="57">
        <v>150</v>
      </c>
      <c r="M5" s="57">
        <v>145</v>
      </c>
      <c r="N5" s="63">
        <v>1</v>
      </c>
      <c r="O5" s="65" t="s">
        <v>37</v>
      </c>
      <c r="P5" s="60" t="s">
        <v>38</v>
      </c>
      <c r="Q5" s="60">
        <v>7</v>
      </c>
      <c r="R5" s="60">
        <v>8</v>
      </c>
      <c r="S5" s="64">
        <v>9</v>
      </c>
      <c r="V5" s="3" t="str">
        <f t="shared" si="0"/>
        <v>03</v>
      </c>
      <c r="W5" s="3" t="str">
        <f t="shared" si="1"/>
        <v>05</v>
      </c>
      <c r="X5" s="3" t="str">
        <f t="shared" si="2"/>
        <v>00</v>
      </c>
      <c r="Y5" s="3" t="str">
        <f t="shared" si="3"/>
        <v>FA</v>
      </c>
      <c r="Z5" s="3" t="str">
        <f t="shared" si="4"/>
        <v>00</v>
      </c>
      <c r="AA5" s="3" t="str">
        <f t="shared" si="5"/>
        <v>00</v>
      </c>
      <c r="AB5" s="3" t="str">
        <f t="shared" si="6"/>
        <v>11</v>
      </c>
      <c r="AC5" s="3" t="str">
        <f t="shared" si="7"/>
        <v>00</v>
      </c>
      <c r="AD5" s="3" t="str">
        <f t="shared" si="8"/>
        <v>C8</v>
      </c>
      <c r="AE5" s="3" t="str">
        <f t="shared" si="9"/>
        <v>00</v>
      </c>
      <c r="AF5" s="3" t="str">
        <f t="shared" si="10"/>
        <v>C3</v>
      </c>
      <c r="AG5" s="3" t="str">
        <f t="shared" si="11"/>
        <v>0B</v>
      </c>
      <c r="AH5" s="3" t="str">
        <f t="shared" si="12"/>
        <v>00</v>
      </c>
      <c r="AI5" s="3" t="str">
        <f t="shared" si="13"/>
        <v>96</v>
      </c>
      <c r="AJ5" s="3" t="str">
        <f t="shared" si="14"/>
        <v>00</v>
      </c>
      <c r="AK5" s="3" t="str">
        <f t="shared" si="15"/>
        <v>91</v>
      </c>
      <c r="AL5" s="3" t="str">
        <f t="shared" si="16"/>
        <v>01</v>
      </c>
    </row>
    <row r="6" spans="1:38" x14ac:dyDescent="0.25">
      <c r="A6" s="11">
        <v>4</v>
      </c>
      <c r="B6" s="5" t="s">
        <v>44</v>
      </c>
      <c r="C6" s="62" t="s">
        <v>45</v>
      </c>
      <c r="D6" s="57">
        <v>3</v>
      </c>
      <c r="E6" s="57">
        <v>2</v>
      </c>
      <c r="F6" s="57">
        <f>F3*T2/100</f>
        <v>639</v>
      </c>
      <c r="G6" s="57">
        <f>G3*T2/100</f>
        <v>0</v>
      </c>
      <c r="H6" s="57">
        <v>17</v>
      </c>
      <c r="I6" s="57">
        <f>I3*T2/100</f>
        <v>630</v>
      </c>
      <c r="J6" s="57">
        <f>J3*T2/100</f>
        <v>621.9</v>
      </c>
      <c r="K6" s="57">
        <v>16</v>
      </c>
      <c r="L6" s="57">
        <f>L3*T2/100</f>
        <v>621.9</v>
      </c>
      <c r="M6" s="57">
        <f>M3*T2/100</f>
        <v>621</v>
      </c>
      <c r="N6" s="63">
        <v>16</v>
      </c>
      <c r="O6" s="65" t="s">
        <v>46</v>
      </c>
      <c r="P6" s="60" t="s">
        <v>38</v>
      </c>
      <c r="Q6" s="60">
        <v>10</v>
      </c>
      <c r="R6" s="60">
        <v>11</v>
      </c>
      <c r="S6" s="64">
        <v>12</v>
      </c>
      <c r="V6" s="3" t="str">
        <f t="shared" si="0"/>
        <v>03</v>
      </c>
      <c r="W6" s="3" t="str">
        <f t="shared" si="1"/>
        <v>02</v>
      </c>
      <c r="X6" s="3" t="str">
        <f t="shared" si="2"/>
        <v>02</v>
      </c>
      <c r="Y6" s="3" t="str">
        <f t="shared" si="3"/>
        <v>7F</v>
      </c>
      <c r="Z6" s="3" t="str">
        <f t="shared" si="4"/>
        <v>00</v>
      </c>
      <c r="AA6" s="3" t="str">
        <f t="shared" si="5"/>
        <v>00</v>
      </c>
      <c r="AB6" s="3" t="str">
        <f t="shared" si="6"/>
        <v>11</v>
      </c>
      <c r="AC6" s="3" t="str">
        <f t="shared" si="7"/>
        <v>02</v>
      </c>
      <c r="AD6" s="3" t="str">
        <f t="shared" si="8"/>
        <v>76</v>
      </c>
      <c r="AE6" s="3" t="str">
        <f t="shared" si="9"/>
        <v>02</v>
      </c>
      <c r="AF6" s="3" t="str">
        <f t="shared" si="10"/>
        <v>6D</v>
      </c>
      <c r="AG6" s="3" t="str">
        <f t="shared" si="11"/>
        <v>10</v>
      </c>
      <c r="AH6" s="3" t="str">
        <f t="shared" si="12"/>
        <v>02</v>
      </c>
      <c r="AI6" s="3" t="str">
        <f t="shared" si="13"/>
        <v>6D</v>
      </c>
      <c r="AJ6" s="3" t="str">
        <f t="shared" si="14"/>
        <v>02</v>
      </c>
      <c r="AK6" s="3" t="str">
        <f t="shared" si="15"/>
        <v>6D</v>
      </c>
      <c r="AL6" s="3" t="str">
        <f t="shared" si="16"/>
        <v>10</v>
      </c>
    </row>
    <row r="7" spans="1:38" x14ac:dyDescent="0.25">
      <c r="A7" s="11">
        <v>5</v>
      </c>
      <c r="B7" s="5" t="s">
        <v>47</v>
      </c>
      <c r="C7" s="62" t="s">
        <v>48</v>
      </c>
      <c r="D7" s="57">
        <v>3</v>
      </c>
      <c r="E7" s="57">
        <v>2</v>
      </c>
      <c r="F7" s="57">
        <f>F4*T2/100</f>
        <v>513</v>
      </c>
      <c r="G7" s="57">
        <f>G4*T2/100</f>
        <v>810</v>
      </c>
      <c r="H7" s="57">
        <v>14</v>
      </c>
      <c r="I7" s="57">
        <f>I4*T2/100</f>
        <v>522</v>
      </c>
      <c r="J7" s="57">
        <f>J4*T2/100</f>
        <v>531</v>
      </c>
      <c r="K7" s="57">
        <v>14</v>
      </c>
      <c r="L7" s="57">
        <f>L4*T2/100</f>
        <v>531</v>
      </c>
      <c r="M7" s="57">
        <f>M4*T2/100</f>
        <v>540</v>
      </c>
      <c r="N7" s="63">
        <v>9</v>
      </c>
      <c r="O7" s="65" t="s">
        <v>46</v>
      </c>
      <c r="P7" s="60" t="s">
        <v>41</v>
      </c>
      <c r="Q7" s="60">
        <v>13</v>
      </c>
      <c r="R7" s="60">
        <v>14</v>
      </c>
      <c r="S7" s="64">
        <v>15</v>
      </c>
      <c r="V7" s="3" t="str">
        <f t="shared" si="0"/>
        <v>03</v>
      </c>
      <c r="W7" s="3" t="str">
        <f t="shared" si="1"/>
        <v>02</v>
      </c>
      <c r="X7" s="3" t="str">
        <f t="shared" si="2"/>
        <v>02</v>
      </c>
      <c r="Y7" s="3" t="str">
        <f t="shared" si="3"/>
        <v>01</v>
      </c>
      <c r="Z7" s="3" t="str">
        <f t="shared" si="4"/>
        <v>03</v>
      </c>
      <c r="AA7" s="3" t="str">
        <f t="shared" si="5"/>
        <v>2A</v>
      </c>
      <c r="AB7" s="3" t="str">
        <f t="shared" si="6"/>
        <v>0E</v>
      </c>
      <c r="AC7" s="3" t="str">
        <f t="shared" si="7"/>
        <v>02</v>
      </c>
      <c r="AD7" s="3" t="str">
        <f t="shared" si="8"/>
        <v>0A</v>
      </c>
      <c r="AE7" s="3" t="str">
        <f t="shared" si="9"/>
        <v>02</v>
      </c>
      <c r="AF7" s="3" t="str">
        <f t="shared" si="10"/>
        <v>13</v>
      </c>
      <c r="AG7" s="3" t="str">
        <f t="shared" si="11"/>
        <v>0E</v>
      </c>
      <c r="AH7" s="3" t="str">
        <f t="shared" si="12"/>
        <v>02</v>
      </c>
      <c r="AI7" s="3" t="str">
        <f t="shared" si="13"/>
        <v>13</v>
      </c>
      <c r="AJ7" s="3" t="str">
        <f t="shared" si="14"/>
        <v>02</v>
      </c>
      <c r="AK7" s="3" t="str">
        <f t="shared" si="15"/>
        <v>1C</v>
      </c>
      <c r="AL7" s="3" t="str">
        <f t="shared" si="16"/>
        <v>09</v>
      </c>
    </row>
    <row r="8" spans="1:38" x14ac:dyDescent="0.25">
      <c r="A8" s="11">
        <v>6</v>
      </c>
      <c r="B8" s="5" t="s">
        <v>49</v>
      </c>
      <c r="C8" s="62" t="s">
        <v>50</v>
      </c>
      <c r="D8" s="57">
        <v>3</v>
      </c>
      <c r="E8" s="57">
        <v>2</v>
      </c>
      <c r="F8" s="57">
        <f>F3*T2*U2/100</f>
        <v>639</v>
      </c>
      <c r="G8" s="57">
        <f>G3*T2*U2/100</f>
        <v>0</v>
      </c>
      <c r="H8" s="57">
        <v>17</v>
      </c>
      <c r="I8" s="57">
        <f>I3*T2*U2/100</f>
        <v>630</v>
      </c>
      <c r="J8" s="57">
        <f>J3*T2*U2/100</f>
        <v>621.9</v>
      </c>
      <c r="K8" s="57">
        <v>16</v>
      </c>
      <c r="L8" s="57">
        <f>L3*T2*U2/100</f>
        <v>621.9</v>
      </c>
      <c r="M8" s="57">
        <f>M3*T2*U2/100</f>
        <v>621</v>
      </c>
      <c r="N8" s="63">
        <v>16</v>
      </c>
      <c r="O8" s="65" t="s">
        <v>46</v>
      </c>
      <c r="P8" s="60" t="s">
        <v>38</v>
      </c>
      <c r="Q8" s="60">
        <v>16</v>
      </c>
      <c r="R8" s="60">
        <v>17</v>
      </c>
      <c r="S8" s="64">
        <v>18</v>
      </c>
      <c r="V8" s="3" t="str">
        <f t="shared" si="0"/>
        <v>03</v>
      </c>
      <c r="W8" s="3" t="str">
        <f t="shared" si="1"/>
        <v>02</v>
      </c>
      <c r="X8" s="3" t="str">
        <f t="shared" si="2"/>
        <v>02</v>
      </c>
      <c r="Y8" s="3" t="str">
        <f t="shared" si="3"/>
        <v>7F</v>
      </c>
      <c r="Z8" s="3" t="str">
        <f t="shared" si="4"/>
        <v>00</v>
      </c>
      <c r="AA8" s="3" t="str">
        <f t="shared" si="5"/>
        <v>00</v>
      </c>
      <c r="AB8" s="3" t="str">
        <f t="shared" si="6"/>
        <v>11</v>
      </c>
      <c r="AC8" s="3" t="str">
        <f t="shared" si="7"/>
        <v>02</v>
      </c>
      <c r="AD8" s="3" t="str">
        <f t="shared" si="8"/>
        <v>76</v>
      </c>
      <c r="AE8" s="3" t="str">
        <f t="shared" si="9"/>
        <v>02</v>
      </c>
      <c r="AF8" s="3" t="str">
        <f t="shared" si="10"/>
        <v>6D</v>
      </c>
      <c r="AG8" s="3" t="str">
        <f t="shared" si="11"/>
        <v>10</v>
      </c>
      <c r="AH8" s="3" t="str">
        <f t="shared" si="12"/>
        <v>02</v>
      </c>
      <c r="AI8" s="3" t="str">
        <f t="shared" si="13"/>
        <v>6D</v>
      </c>
      <c r="AJ8" s="3" t="str">
        <f t="shared" si="14"/>
        <v>02</v>
      </c>
      <c r="AK8" s="3" t="str">
        <f t="shared" si="15"/>
        <v>6D</v>
      </c>
      <c r="AL8" s="3" t="str">
        <f t="shared" si="16"/>
        <v>10</v>
      </c>
    </row>
    <row r="9" spans="1:38" x14ac:dyDescent="0.25">
      <c r="A9" s="11">
        <v>7</v>
      </c>
      <c r="B9" s="5" t="s">
        <v>51</v>
      </c>
      <c r="C9" s="62" t="s">
        <v>52</v>
      </c>
      <c r="D9" s="57">
        <v>3</v>
      </c>
      <c r="E9" s="57">
        <v>2</v>
      </c>
      <c r="F9" s="57">
        <f>F4*T2*U2/100</f>
        <v>513</v>
      </c>
      <c r="G9" s="57">
        <f>G4*T2*U2/100</f>
        <v>810</v>
      </c>
      <c r="H9" s="57">
        <v>14</v>
      </c>
      <c r="I9" s="57">
        <f>I4*T2*U2/100</f>
        <v>522</v>
      </c>
      <c r="J9" s="57">
        <f>J4*T2*U2/100</f>
        <v>531</v>
      </c>
      <c r="K9" s="57">
        <v>14</v>
      </c>
      <c r="L9" s="57">
        <f>L4*T2*U2/100</f>
        <v>531</v>
      </c>
      <c r="M9" s="57">
        <f>M4*T2*U2/100</f>
        <v>540</v>
      </c>
      <c r="N9" s="63">
        <v>9</v>
      </c>
      <c r="O9" s="65" t="s">
        <v>46</v>
      </c>
      <c r="P9" s="60" t="s">
        <v>41</v>
      </c>
      <c r="Q9" s="60">
        <v>19</v>
      </c>
      <c r="R9" s="60">
        <v>20</v>
      </c>
      <c r="S9" s="64">
        <v>21</v>
      </c>
      <c r="V9" s="3" t="str">
        <f t="shared" si="0"/>
        <v>03</v>
      </c>
      <c r="W9" s="3" t="str">
        <f t="shared" si="1"/>
        <v>02</v>
      </c>
      <c r="X9" s="3" t="str">
        <f t="shared" si="2"/>
        <v>02</v>
      </c>
      <c r="Y9" s="3" t="str">
        <f t="shared" si="3"/>
        <v>01</v>
      </c>
      <c r="Z9" s="3" t="str">
        <f t="shared" si="4"/>
        <v>03</v>
      </c>
      <c r="AA9" s="3" t="str">
        <f t="shared" si="5"/>
        <v>2A</v>
      </c>
      <c r="AB9" s="3" t="str">
        <f t="shared" si="6"/>
        <v>0E</v>
      </c>
      <c r="AC9" s="3" t="str">
        <f t="shared" si="7"/>
        <v>02</v>
      </c>
      <c r="AD9" s="3" t="str">
        <f t="shared" si="8"/>
        <v>0A</v>
      </c>
      <c r="AE9" s="3" t="str">
        <f t="shared" si="9"/>
        <v>02</v>
      </c>
      <c r="AF9" s="3" t="str">
        <f t="shared" si="10"/>
        <v>13</v>
      </c>
      <c r="AG9" s="3" t="str">
        <f t="shared" si="11"/>
        <v>0E</v>
      </c>
      <c r="AH9" s="3" t="str">
        <f t="shared" si="12"/>
        <v>02</v>
      </c>
      <c r="AI9" s="3" t="str">
        <f t="shared" si="13"/>
        <v>13</v>
      </c>
      <c r="AJ9" s="3" t="str">
        <f t="shared" si="14"/>
        <v>02</v>
      </c>
      <c r="AK9" s="3" t="str">
        <f t="shared" si="15"/>
        <v>1C</v>
      </c>
      <c r="AL9" s="3" t="str">
        <f t="shared" si="16"/>
        <v>09</v>
      </c>
    </row>
    <row r="10" spans="1:38" x14ac:dyDescent="0.25">
      <c r="A10" s="9">
        <v>8</v>
      </c>
      <c r="B10" s="5" t="s">
        <v>53</v>
      </c>
      <c r="C10" s="61" t="s">
        <v>54</v>
      </c>
      <c r="D10" s="57">
        <v>3</v>
      </c>
      <c r="E10" s="57">
        <v>5</v>
      </c>
      <c r="F10" s="57">
        <v>30150</v>
      </c>
      <c r="G10" s="57">
        <v>30000</v>
      </c>
      <c r="H10" s="57">
        <v>17</v>
      </c>
      <c r="I10" s="57">
        <v>30100</v>
      </c>
      <c r="J10" s="57">
        <v>30000</v>
      </c>
      <c r="K10" s="59">
        <v>9</v>
      </c>
      <c r="L10" s="57">
        <v>30050</v>
      </c>
      <c r="M10" s="57">
        <v>30000</v>
      </c>
      <c r="N10" s="63">
        <v>1</v>
      </c>
      <c r="O10" s="66" t="s">
        <v>102</v>
      </c>
      <c r="P10" s="60" t="s">
        <v>55</v>
      </c>
      <c r="Q10" s="60">
        <v>22</v>
      </c>
      <c r="R10" s="60">
        <v>23</v>
      </c>
      <c r="S10" s="64">
        <v>24</v>
      </c>
      <c r="V10" s="3" t="str">
        <f t="shared" si="0"/>
        <v>03</v>
      </c>
      <c r="W10" s="3" t="str">
        <f t="shared" si="1"/>
        <v>05</v>
      </c>
      <c r="X10" s="3" t="str">
        <f t="shared" si="2"/>
        <v>75</v>
      </c>
      <c r="Y10" s="3" t="str">
        <f t="shared" si="3"/>
        <v>C6</v>
      </c>
      <c r="Z10" s="3" t="str">
        <f t="shared" si="4"/>
        <v>75</v>
      </c>
      <c r="AA10" s="3" t="str">
        <f t="shared" si="5"/>
        <v>30</v>
      </c>
      <c r="AB10" s="3" t="str">
        <f t="shared" si="6"/>
        <v>11</v>
      </c>
      <c r="AC10" s="3" t="str">
        <f t="shared" si="7"/>
        <v>75</v>
      </c>
      <c r="AD10" s="3" t="str">
        <f t="shared" si="8"/>
        <v>94</v>
      </c>
      <c r="AE10" s="3" t="str">
        <f t="shared" si="9"/>
        <v>75</v>
      </c>
      <c r="AF10" s="3" t="str">
        <f t="shared" si="10"/>
        <v>30</v>
      </c>
      <c r="AG10" s="3" t="str">
        <f t="shared" si="11"/>
        <v>09</v>
      </c>
      <c r="AH10" s="3" t="str">
        <f t="shared" si="12"/>
        <v>75</v>
      </c>
      <c r="AI10" s="3" t="str">
        <f t="shared" si="13"/>
        <v>62</v>
      </c>
      <c r="AJ10" s="3" t="str">
        <f t="shared" si="14"/>
        <v>75</v>
      </c>
      <c r="AK10" s="3" t="str">
        <f t="shared" si="15"/>
        <v>30</v>
      </c>
      <c r="AL10" s="3" t="str">
        <f t="shared" si="16"/>
        <v>01</v>
      </c>
    </row>
    <row r="11" spans="1:38" x14ac:dyDescent="0.25">
      <c r="A11" s="9">
        <v>9</v>
      </c>
      <c r="B11" s="5" t="s">
        <v>56</v>
      </c>
      <c r="C11" s="61" t="s">
        <v>57</v>
      </c>
      <c r="D11" s="57">
        <v>3</v>
      </c>
      <c r="E11" s="57">
        <v>5</v>
      </c>
      <c r="F11" s="57">
        <v>30150</v>
      </c>
      <c r="G11" s="57">
        <v>30000</v>
      </c>
      <c r="H11" s="57">
        <v>17</v>
      </c>
      <c r="I11" s="57">
        <v>30100</v>
      </c>
      <c r="J11" s="57">
        <v>30000</v>
      </c>
      <c r="K11" s="57">
        <v>10</v>
      </c>
      <c r="L11" s="57">
        <v>30050</v>
      </c>
      <c r="M11" s="57">
        <v>30000</v>
      </c>
      <c r="N11" s="63">
        <v>1</v>
      </c>
      <c r="O11" s="66" t="s">
        <v>102</v>
      </c>
      <c r="P11" s="60" t="s">
        <v>55</v>
      </c>
      <c r="Q11" s="60">
        <v>25</v>
      </c>
      <c r="R11" s="60">
        <v>26</v>
      </c>
      <c r="S11" s="64">
        <v>27</v>
      </c>
      <c r="V11" s="3" t="str">
        <f t="shared" si="0"/>
        <v>03</v>
      </c>
      <c r="W11" s="3" t="str">
        <f t="shared" si="1"/>
        <v>05</v>
      </c>
      <c r="X11" s="3" t="str">
        <f t="shared" si="2"/>
        <v>75</v>
      </c>
      <c r="Y11" s="3" t="str">
        <f t="shared" si="3"/>
        <v>C6</v>
      </c>
      <c r="Z11" s="3" t="str">
        <f t="shared" si="4"/>
        <v>75</v>
      </c>
      <c r="AA11" s="3" t="str">
        <f t="shared" si="5"/>
        <v>30</v>
      </c>
      <c r="AB11" s="3" t="str">
        <f t="shared" si="6"/>
        <v>11</v>
      </c>
      <c r="AC11" s="3" t="str">
        <f t="shared" si="7"/>
        <v>75</v>
      </c>
      <c r="AD11" s="3" t="str">
        <f t="shared" si="8"/>
        <v>94</v>
      </c>
      <c r="AE11" s="3" t="str">
        <f t="shared" si="9"/>
        <v>75</v>
      </c>
      <c r="AF11" s="3" t="str">
        <f t="shared" si="10"/>
        <v>30</v>
      </c>
      <c r="AG11" s="3" t="str">
        <f t="shared" si="11"/>
        <v>0A</v>
      </c>
      <c r="AH11" s="3" t="str">
        <f t="shared" si="12"/>
        <v>75</v>
      </c>
      <c r="AI11" s="3" t="str">
        <f t="shared" si="13"/>
        <v>62</v>
      </c>
      <c r="AJ11" s="3" t="str">
        <f t="shared" si="14"/>
        <v>75</v>
      </c>
      <c r="AK11" s="3" t="str">
        <f t="shared" si="15"/>
        <v>30</v>
      </c>
      <c r="AL11" s="3" t="str">
        <f t="shared" si="16"/>
        <v>01</v>
      </c>
    </row>
    <row r="12" spans="1:38" x14ac:dyDescent="0.25">
      <c r="A12" s="9">
        <v>10</v>
      </c>
      <c r="B12" s="5" t="s">
        <v>58</v>
      </c>
      <c r="C12" s="61" t="s">
        <v>59</v>
      </c>
      <c r="D12" s="57">
        <v>3</v>
      </c>
      <c r="E12" s="57">
        <v>20</v>
      </c>
      <c r="F12" s="57">
        <v>600</v>
      </c>
      <c r="G12" s="57">
        <v>800</v>
      </c>
      <c r="H12" s="57">
        <v>17</v>
      </c>
      <c r="I12" s="57">
        <v>800</v>
      </c>
      <c r="J12" s="57">
        <v>1000</v>
      </c>
      <c r="K12" s="57">
        <v>11</v>
      </c>
      <c r="L12" s="57">
        <v>1000</v>
      </c>
      <c r="M12" s="57">
        <v>1200</v>
      </c>
      <c r="N12" s="63">
        <v>1</v>
      </c>
      <c r="O12" s="65" t="s">
        <v>60</v>
      </c>
      <c r="P12" s="60" t="s">
        <v>41</v>
      </c>
      <c r="Q12" s="60">
        <v>28</v>
      </c>
      <c r="R12" s="60">
        <v>29</v>
      </c>
      <c r="S12" s="64">
        <v>30</v>
      </c>
      <c r="V12" s="3" t="str">
        <f t="shared" si="0"/>
        <v>03</v>
      </c>
      <c r="W12" s="3" t="str">
        <f t="shared" si="1"/>
        <v>14</v>
      </c>
      <c r="X12" s="3" t="str">
        <f t="shared" si="2"/>
        <v>02</v>
      </c>
      <c r="Y12" s="3" t="str">
        <f t="shared" si="3"/>
        <v>58</v>
      </c>
      <c r="Z12" s="3" t="str">
        <f t="shared" si="4"/>
        <v>03</v>
      </c>
      <c r="AA12" s="3" t="str">
        <f t="shared" si="5"/>
        <v>20</v>
      </c>
      <c r="AB12" s="3" t="str">
        <f t="shared" si="6"/>
        <v>11</v>
      </c>
      <c r="AC12" s="3" t="str">
        <f t="shared" si="7"/>
        <v>03</v>
      </c>
      <c r="AD12" s="3" t="str">
        <f t="shared" si="8"/>
        <v>20</v>
      </c>
      <c r="AE12" s="3" t="str">
        <f t="shared" si="9"/>
        <v>03</v>
      </c>
      <c r="AF12" s="3" t="str">
        <f t="shared" si="10"/>
        <v>E8</v>
      </c>
      <c r="AG12" s="3" t="str">
        <f t="shared" si="11"/>
        <v>0B</v>
      </c>
      <c r="AH12" s="3" t="str">
        <f t="shared" si="12"/>
        <v>03</v>
      </c>
      <c r="AI12" s="3" t="str">
        <f t="shared" si="13"/>
        <v>E8</v>
      </c>
      <c r="AJ12" s="3" t="str">
        <f t="shared" si="14"/>
        <v>04</v>
      </c>
      <c r="AK12" s="3" t="str">
        <f t="shared" si="15"/>
        <v>B0</v>
      </c>
      <c r="AL12" s="3" t="str">
        <f t="shared" si="16"/>
        <v>01</v>
      </c>
    </row>
    <row r="13" spans="1:38" x14ac:dyDescent="0.25">
      <c r="A13" s="9">
        <v>11</v>
      </c>
      <c r="B13" s="5" t="s">
        <v>61</v>
      </c>
      <c r="C13" s="61" t="s">
        <v>62</v>
      </c>
      <c r="D13" s="57">
        <v>3</v>
      </c>
      <c r="E13" s="57">
        <v>5</v>
      </c>
      <c r="F13" s="57">
        <v>100</v>
      </c>
      <c r="G13" s="57">
        <v>0</v>
      </c>
      <c r="H13" s="57">
        <v>17</v>
      </c>
      <c r="I13" s="57">
        <v>95</v>
      </c>
      <c r="J13" s="57">
        <v>90</v>
      </c>
      <c r="K13" s="57">
        <v>11</v>
      </c>
      <c r="L13" s="57">
        <v>90</v>
      </c>
      <c r="M13" s="57">
        <v>85</v>
      </c>
      <c r="N13" s="63">
        <v>1</v>
      </c>
      <c r="O13" s="65" t="s">
        <v>92</v>
      </c>
      <c r="P13" s="60" t="s">
        <v>38</v>
      </c>
      <c r="Q13" s="60">
        <v>31</v>
      </c>
      <c r="R13" s="60">
        <v>32</v>
      </c>
      <c r="S13" s="64">
        <v>33</v>
      </c>
      <c r="V13" s="3" t="str">
        <f t="shared" si="0"/>
        <v>03</v>
      </c>
      <c r="W13" s="3" t="str">
        <f t="shared" si="1"/>
        <v>05</v>
      </c>
      <c r="X13" s="3" t="str">
        <f t="shared" si="2"/>
        <v>00</v>
      </c>
      <c r="Y13" s="3" t="str">
        <f t="shared" si="3"/>
        <v>64</v>
      </c>
      <c r="Z13" s="3" t="str">
        <f t="shared" si="4"/>
        <v>00</v>
      </c>
      <c r="AA13" s="3" t="str">
        <f t="shared" si="5"/>
        <v>00</v>
      </c>
      <c r="AB13" s="3" t="str">
        <f t="shared" si="6"/>
        <v>11</v>
      </c>
      <c r="AC13" s="3" t="str">
        <f t="shared" si="7"/>
        <v>00</v>
      </c>
      <c r="AD13" s="3" t="str">
        <f t="shared" si="8"/>
        <v>5F</v>
      </c>
      <c r="AE13" s="3" t="str">
        <f t="shared" si="9"/>
        <v>00</v>
      </c>
      <c r="AF13" s="3" t="str">
        <f t="shared" si="10"/>
        <v>5A</v>
      </c>
      <c r="AG13" s="3" t="str">
        <f t="shared" si="11"/>
        <v>0B</v>
      </c>
      <c r="AH13" s="3" t="str">
        <f t="shared" si="12"/>
        <v>00</v>
      </c>
      <c r="AI13" s="3" t="str">
        <f t="shared" si="13"/>
        <v>5A</v>
      </c>
      <c r="AJ13" s="3" t="str">
        <f t="shared" si="14"/>
        <v>00</v>
      </c>
      <c r="AK13" s="3" t="str">
        <f t="shared" si="15"/>
        <v>55</v>
      </c>
      <c r="AL13" s="3" t="str">
        <f t="shared" si="16"/>
        <v>01</v>
      </c>
    </row>
    <row r="14" spans="1:38" x14ac:dyDescent="0.25">
      <c r="A14" s="9">
        <v>12</v>
      </c>
      <c r="B14" s="5" t="s">
        <v>63</v>
      </c>
      <c r="C14" s="61" t="s">
        <v>64</v>
      </c>
      <c r="D14" s="57">
        <v>3</v>
      </c>
      <c r="E14" s="57">
        <v>5</v>
      </c>
      <c r="F14" s="57">
        <v>42</v>
      </c>
      <c r="G14" s="57">
        <v>100</v>
      </c>
      <c r="H14" s="57">
        <v>16</v>
      </c>
      <c r="I14" s="57">
        <v>44</v>
      </c>
      <c r="J14" s="57">
        <v>46</v>
      </c>
      <c r="K14" s="57">
        <v>11</v>
      </c>
      <c r="L14" s="57">
        <v>46</v>
      </c>
      <c r="M14" s="57">
        <v>48</v>
      </c>
      <c r="N14" s="63">
        <v>10</v>
      </c>
      <c r="O14" s="65" t="s">
        <v>92</v>
      </c>
      <c r="P14" s="60" t="s">
        <v>41</v>
      </c>
      <c r="Q14" s="60">
        <v>34</v>
      </c>
      <c r="R14" s="60">
        <v>35</v>
      </c>
      <c r="S14" s="64">
        <v>36</v>
      </c>
      <c r="V14" s="3" t="str">
        <f t="shared" si="0"/>
        <v>03</v>
      </c>
      <c r="W14" s="3" t="str">
        <f t="shared" si="1"/>
        <v>05</v>
      </c>
      <c r="X14" s="3" t="str">
        <f t="shared" si="2"/>
        <v>00</v>
      </c>
      <c r="Y14" s="3" t="str">
        <f t="shared" si="3"/>
        <v>2A</v>
      </c>
      <c r="Z14" s="3" t="str">
        <f t="shared" si="4"/>
        <v>00</v>
      </c>
      <c r="AA14" s="3" t="str">
        <f t="shared" si="5"/>
        <v>64</v>
      </c>
      <c r="AB14" s="3" t="str">
        <f t="shared" si="6"/>
        <v>10</v>
      </c>
      <c r="AC14" s="3" t="str">
        <f t="shared" si="7"/>
        <v>00</v>
      </c>
      <c r="AD14" s="3" t="str">
        <f t="shared" si="8"/>
        <v>2C</v>
      </c>
      <c r="AE14" s="3" t="str">
        <f t="shared" si="9"/>
        <v>00</v>
      </c>
      <c r="AF14" s="3" t="str">
        <f t="shared" si="10"/>
        <v>2E</v>
      </c>
      <c r="AG14" s="3" t="str">
        <f t="shared" si="11"/>
        <v>0B</v>
      </c>
      <c r="AH14" s="3" t="str">
        <f t="shared" si="12"/>
        <v>00</v>
      </c>
      <c r="AI14" s="3" t="str">
        <f t="shared" si="13"/>
        <v>2E</v>
      </c>
      <c r="AJ14" s="3" t="str">
        <f t="shared" si="14"/>
        <v>00</v>
      </c>
      <c r="AK14" s="3" t="str">
        <f t="shared" si="15"/>
        <v>30</v>
      </c>
      <c r="AL14" s="3" t="str">
        <f t="shared" si="16"/>
        <v>0A</v>
      </c>
    </row>
    <row r="15" spans="1:38" x14ac:dyDescent="0.25">
      <c r="A15" s="9">
        <v>13</v>
      </c>
      <c r="B15" s="5" t="s">
        <v>65</v>
      </c>
      <c r="C15" s="61" t="s">
        <v>66</v>
      </c>
      <c r="D15" s="57">
        <v>3</v>
      </c>
      <c r="E15" s="57">
        <v>5</v>
      </c>
      <c r="F15" s="57">
        <v>100</v>
      </c>
      <c r="G15" s="57">
        <v>0</v>
      </c>
      <c r="H15" s="57">
        <v>17</v>
      </c>
      <c r="I15" s="57">
        <v>95</v>
      </c>
      <c r="J15" s="57">
        <v>90</v>
      </c>
      <c r="K15" s="57">
        <v>11</v>
      </c>
      <c r="L15" s="57">
        <v>90</v>
      </c>
      <c r="M15" s="57">
        <v>85</v>
      </c>
      <c r="N15" s="63">
        <v>1</v>
      </c>
      <c r="O15" s="65" t="s">
        <v>92</v>
      </c>
      <c r="P15" s="60" t="s">
        <v>38</v>
      </c>
      <c r="Q15" s="60">
        <v>37</v>
      </c>
      <c r="R15" s="60">
        <v>38</v>
      </c>
      <c r="S15" s="64">
        <v>39</v>
      </c>
      <c r="V15" s="3" t="str">
        <f t="shared" si="0"/>
        <v>03</v>
      </c>
      <c r="W15" s="3" t="str">
        <f t="shared" si="1"/>
        <v>05</v>
      </c>
      <c r="X15" s="3" t="str">
        <f t="shared" si="2"/>
        <v>00</v>
      </c>
      <c r="Y15" s="3" t="str">
        <f t="shared" si="3"/>
        <v>64</v>
      </c>
      <c r="Z15" s="3" t="str">
        <f t="shared" si="4"/>
        <v>00</v>
      </c>
      <c r="AA15" s="3" t="str">
        <f t="shared" si="5"/>
        <v>00</v>
      </c>
      <c r="AB15" s="3" t="str">
        <f t="shared" si="6"/>
        <v>11</v>
      </c>
      <c r="AC15" s="3" t="str">
        <f t="shared" si="7"/>
        <v>00</v>
      </c>
      <c r="AD15" s="3" t="str">
        <f t="shared" si="8"/>
        <v>5F</v>
      </c>
      <c r="AE15" s="3" t="str">
        <f t="shared" si="9"/>
        <v>00</v>
      </c>
      <c r="AF15" s="3" t="str">
        <f t="shared" si="10"/>
        <v>5A</v>
      </c>
      <c r="AG15" s="3" t="str">
        <f t="shared" si="11"/>
        <v>0B</v>
      </c>
      <c r="AH15" s="3" t="str">
        <f t="shared" si="12"/>
        <v>00</v>
      </c>
      <c r="AI15" s="3" t="str">
        <f t="shared" si="13"/>
        <v>5A</v>
      </c>
      <c r="AJ15" s="3" t="str">
        <f t="shared" si="14"/>
        <v>00</v>
      </c>
      <c r="AK15" s="3" t="str">
        <f t="shared" si="15"/>
        <v>55</v>
      </c>
      <c r="AL15" s="3" t="str">
        <f t="shared" si="16"/>
        <v>01</v>
      </c>
    </row>
    <row r="16" spans="1:38" x14ac:dyDescent="0.25">
      <c r="A16" s="9">
        <v>14</v>
      </c>
      <c r="B16" s="5" t="s">
        <v>67</v>
      </c>
      <c r="C16" s="61" t="s">
        <v>68</v>
      </c>
      <c r="D16" s="57">
        <v>3</v>
      </c>
      <c r="E16" s="57">
        <v>5</v>
      </c>
      <c r="F16" s="57">
        <v>10</v>
      </c>
      <c r="G16" s="57">
        <v>100</v>
      </c>
      <c r="H16" s="57">
        <v>17</v>
      </c>
      <c r="I16" s="57">
        <v>28</v>
      </c>
      <c r="J16" s="57">
        <v>30</v>
      </c>
      <c r="K16" s="57">
        <v>11</v>
      </c>
      <c r="L16" s="57">
        <v>30</v>
      </c>
      <c r="M16" s="57">
        <v>32</v>
      </c>
      <c r="N16" s="63">
        <v>9</v>
      </c>
      <c r="O16" s="65" t="s">
        <v>92</v>
      </c>
      <c r="P16" s="60" t="s">
        <v>41</v>
      </c>
      <c r="Q16" s="60">
        <v>40</v>
      </c>
      <c r="R16" s="60">
        <v>41</v>
      </c>
      <c r="S16" s="64">
        <v>42</v>
      </c>
      <c r="V16" s="3" t="str">
        <f t="shared" si="0"/>
        <v>03</v>
      </c>
      <c r="W16" s="3" t="str">
        <f t="shared" si="1"/>
        <v>05</v>
      </c>
      <c r="X16" s="3" t="str">
        <f t="shared" si="2"/>
        <v>00</v>
      </c>
      <c r="Y16" s="3" t="str">
        <f t="shared" si="3"/>
        <v>0A</v>
      </c>
      <c r="Z16" s="3" t="str">
        <f t="shared" si="4"/>
        <v>00</v>
      </c>
      <c r="AA16" s="3" t="str">
        <f t="shared" si="5"/>
        <v>64</v>
      </c>
      <c r="AB16" s="3" t="str">
        <f t="shared" si="6"/>
        <v>11</v>
      </c>
      <c r="AC16" s="3" t="str">
        <f t="shared" si="7"/>
        <v>00</v>
      </c>
      <c r="AD16" s="3" t="str">
        <f t="shared" si="8"/>
        <v>1C</v>
      </c>
      <c r="AE16" s="3" t="str">
        <f t="shared" si="9"/>
        <v>00</v>
      </c>
      <c r="AF16" s="3" t="str">
        <f t="shared" si="10"/>
        <v>1E</v>
      </c>
      <c r="AG16" s="3" t="str">
        <f t="shared" si="11"/>
        <v>0B</v>
      </c>
      <c r="AH16" s="3" t="str">
        <f t="shared" si="12"/>
        <v>00</v>
      </c>
      <c r="AI16" s="3" t="str">
        <f t="shared" si="13"/>
        <v>1E</v>
      </c>
      <c r="AJ16" s="3" t="str">
        <f t="shared" si="14"/>
        <v>00</v>
      </c>
      <c r="AK16" s="3" t="str">
        <f t="shared" si="15"/>
        <v>20</v>
      </c>
      <c r="AL16" s="3" t="str">
        <f t="shared" si="16"/>
        <v>09</v>
      </c>
    </row>
    <row r="17" spans="1:38" x14ac:dyDescent="0.25">
      <c r="A17" s="9">
        <v>15</v>
      </c>
      <c r="B17" s="5" t="s">
        <v>69</v>
      </c>
      <c r="C17" s="61" t="s">
        <v>70</v>
      </c>
      <c r="D17" s="57">
        <v>3</v>
      </c>
      <c r="E17" s="57">
        <v>10</v>
      </c>
      <c r="F17" s="57">
        <v>55</v>
      </c>
      <c r="G17" s="57">
        <v>0</v>
      </c>
      <c r="H17" s="57">
        <v>17</v>
      </c>
      <c r="I17" s="57">
        <v>50</v>
      </c>
      <c r="J17" s="57">
        <v>49</v>
      </c>
      <c r="K17" s="57">
        <v>1</v>
      </c>
      <c r="L17" s="57">
        <v>48</v>
      </c>
      <c r="M17" s="57">
        <v>47</v>
      </c>
      <c r="N17" s="63">
        <v>1</v>
      </c>
      <c r="O17" s="65" t="s">
        <v>92</v>
      </c>
      <c r="P17" s="60" t="s">
        <v>38</v>
      </c>
      <c r="Q17" s="60">
        <v>43</v>
      </c>
      <c r="R17" s="60">
        <v>44</v>
      </c>
      <c r="S17" s="64">
        <v>45</v>
      </c>
      <c r="V17" s="3" t="str">
        <f t="shared" si="0"/>
        <v>03</v>
      </c>
      <c r="W17" s="3" t="str">
        <f t="shared" si="1"/>
        <v>0A</v>
      </c>
      <c r="X17" s="3" t="str">
        <f t="shared" si="2"/>
        <v>00</v>
      </c>
      <c r="Y17" s="3" t="str">
        <f t="shared" si="3"/>
        <v>37</v>
      </c>
      <c r="Z17" s="3" t="str">
        <f t="shared" si="4"/>
        <v>00</v>
      </c>
      <c r="AA17" s="3" t="str">
        <f t="shared" si="5"/>
        <v>00</v>
      </c>
      <c r="AB17" s="3" t="str">
        <f t="shared" si="6"/>
        <v>11</v>
      </c>
      <c r="AC17" s="3" t="str">
        <f t="shared" si="7"/>
        <v>00</v>
      </c>
      <c r="AD17" s="3" t="str">
        <f t="shared" si="8"/>
        <v>32</v>
      </c>
      <c r="AE17" s="3" t="str">
        <f t="shared" si="9"/>
        <v>00</v>
      </c>
      <c r="AF17" s="3" t="str">
        <f t="shared" si="10"/>
        <v>31</v>
      </c>
      <c r="AG17" s="3" t="str">
        <f t="shared" si="11"/>
        <v>01</v>
      </c>
      <c r="AH17" s="3" t="str">
        <f t="shared" si="12"/>
        <v>00</v>
      </c>
      <c r="AI17" s="3" t="str">
        <f t="shared" si="13"/>
        <v>30</v>
      </c>
      <c r="AJ17" s="3" t="str">
        <f t="shared" si="14"/>
        <v>00</v>
      </c>
      <c r="AK17" s="3" t="str">
        <f t="shared" si="15"/>
        <v>2F</v>
      </c>
      <c r="AL17" s="3" t="str">
        <f t="shared" si="16"/>
        <v>01</v>
      </c>
    </row>
    <row r="18" spans="1:38" x14ac:dyDescent="0.25">
      <c r="A18" s="9">
        <v>16</v>
      </c>
      <c r="B18" s="6" t="s">
        <v>71</v>
      </c>
      <c r="C18" s="61" t="s">
        <v>72</v>
      </c>
      <c r="D18" s="57">
        <v>3</v>
      </c>
      <c r="E18" s="57">
        <v>3</v>
      </c>
      <c r="F18" s="57">
        <v>0</v>
      </c>
      <c r="G18" s="57">
        <v>5</v>
      </c>
      <c r="H18" s="58">
        <v>1</v>
      </c>
      <c r="I18" s="57">
        <v>10</v>
      </c>
      <c r="J18" s="57">
        <v>10</v>
      </c>
      <c r="K18" s="57">
        <v>1</v>
      </c>
      <c r="L18" s="57">
        <v>20</v>
      </c>
      <c r="M18" s="57">
        <v>20</v>
      </c>
      <c r="N18" s="63">
        <v>1</v>
      </c>
      <c r="O18" s="66">
        <v>0.01</v>
      </c>
      <c r="P18" s="60" t="s">
        <v>41</v>
      </c>
      <c r="Q18" s="60">
        <v>49</v>
      </c>
      <c r="R18" s="60">
        <v>50</v>
      </c>
      <c r="S18" s="64">
        <v>51</v>
      </c>
      <c r="V18" s="3" t="str">
        <f t="shared" si="0"/>
        <v>03</v>
      </c>
      <c r="W18" s="3" t="str">
        <f t="shared" si="1"/>
        <v>03</v>
      </c>
      <c r="X18" s="3" t="str">
        <f t="shared" si="2"/>
        <v>00</v>
      </c>
      <c r="Y18" s="3" t="str">
        <f t="shared" si="3"/>
        <v>00</v>
      </c>
      <c r="Z18" s="3" t="str">
        <f t="shared" si="4"/>
        <v>00</v>
      </c>
      <c r="AA18" s="3" t="str">
        <f t="shared" si="5"/>
        <v>05</v>
      </c>
      <c r="AB18" s="3" t="str">
        <f t="shared" si="6"/>
        <v>01</v>
      </c>
      <c r="AC18" s="3" t="str">
        <f t="shared" si="7"/>
        <v>00</v>
      </c>
      <c r="AD18" s="3" t="str">
        <f t="shared" si="8"/>
        <v>0A</v>
      </c>
      <c r="AE18" s="3" t="str">
        <f t="shared" si="9"/>
        <v>00</v>
      </c>
      <c r="AF18" s="3" t="str">
        <f t="shared" si="10"/>
        <v>0A</v>
      </c>
      <c r="AG18" s="3" t="str">
        <f t="shared" si="11"/>
        <v>01</v>
      </c>
      <c r="AH18" s="3" t="str">
        <f t="shared" si="12"/>
        <v>00</v>
      </c>
      <c r="AI18" s="3" t="str">
        <f t="shared" si="13"/>
        <v>14</v>
      </c>
      <c r="AJ18" s="3" t="str">
        <f t="shared" si="14"/>
        <v>00</v>
      </c>
      <c r="AK18" s="3" t="str">
        <f t="shared" si="15"/>
        <v>14</v>
      </c>
      <c r="AL18" s="3" t="str">
        <f t="shared" si="16"/>
        <v>01</v>
      </c>
    </row>
    <row r="19" spans="1:38" x14ac:dyDescent="0.25">
      <c r="A19" s="9">
        <v>17</v>
      </c>
      <c r="B19" s="6" t="s">
        <v>73</v>
      </c>
      <c r="C19" s="61" t="s">
        <v>74</v>
      </c>
      <c r="D19" s="57">
        <v>3</v>
      </c>
      <c r="E19" s="57">
        <v>3</v>
      </c>
      <c r="F19" s="57">
        <v>0</v>
      </c>
      <c r="G19" s="57">
        <v>0</v>
      </c>
      <c r="H19" s="58">
        <v>0</v>
      </c>
      <c r="I19" s="57">
        <v>0</v>
      </c>
      <c r="J19" s="57">
        <v>0</v>
      </c>
      <c r="K19" s="57">
        <v>0</v>
      </c>
      <c r="L19" s="57">
        <v>70</v>
      </c>
      <c r="M19" s="57">
        <v>101</v>
      </c>
      <c r="N19" s="63">
        <v>1</v>
      </c>
      <c r="O19" s="66">
        <v>0.01</v>
      </c>
      <c r="P19" s="60" t="s">
        <v>38</v>
      </c>
      <c r="Q19" s="60">
        <v>52</v>
      </c>
      <c r="R19" s="60">
        <v>53</v>
      </c>
      <c r="S19" s="64">
        <v>54</v>
      </c>
      <c r="V19" s="3" t="str">
        <f t="shared" si="0"/>
        <v>03</v>
      </c>
      <c r="W19" s="3" t="str">
        <f t="shared" si="1"/>
        <v>03</v>
      </c>
      <c r="X19" s="3" t="str">
        <f t="shared" si="2"/>
        <v>00</v>
      </c>
      <c r="Y19" s="3" t="str">
        <f t="shared" si="3"/>
        <v>00</v>
      </c>
      <c r="Z19" s="3" t="str">
        <f t="shared" si="4"/>
        <v>00</v>
      </c>
      <c r="AA19" s="3" t="str">
        <f t="shared" si="5"/>
        <v>00</v>
      </c>
      <c r="AB19" s="3" t="str">
        <f t="shared" si="6"/>
        <v>00</v>
      </c>
      <c r="AC19" s="3" t="str">
        <f t="shared" si="7"/>
        <v>00</v>
      </c>
      <c r="AD19" s="3" t="str">
        <f t="shared" si="8"/>
        <v>00</v>
      </c>
      <c r="AE19" s="3" t="str">
        <f t="shared" si="9"/>
        <v>00</v>
      </c>
      <c r="AF19" s="3" t="str">
        <f t="shared" si="10"/>
        <v>00</v>
      </c>
      <c r="AG19" s="3" t="str">
        <f t="shared" si="11"/>
        <v>00</v>
      </c>
      <c r="AH19" s="3" t="str">
        <f t="shared" si="12"/>
        <v>00</v>
      </c>
      <c r="AI19" s="3" t="str">
        <f t="shared" si="13"/>
        <v>46</v>
      </c>
      <c r="AJ19" s="3" t="str">
        <f t="shared" si="14"/>
        <v>00</v>
      </c>
      <c r="AK19" s="3" t="str">
        <f t="shared" si="15"/>
        <v>65</v>
      </c>
      <c r="AL19" s="3" t="str">
        <f t="shared" si="16"/>
        <v>01</v>
      </c>
    </row>
    <row r="20" spans="1:38" x14ac:dyDescent="0.25">
      <c r="A20" s="9">
        <v>18</v>
      </c>
      <c r="B20" s="5" t="s">
        <v>75</v>
      </c>
      <c r="C20" s="61" t="s">
        <v>76</v>
      </c>
      <c r="D20" s="57">
        <v>1</v>
      </c>
      <c r="E20" s="57">
        <v>3</v>
      </c>
      <c r="F20" s="57">
        <v>320</v>
      </c>
      <c r="G20" s="57">
        <v>260</v>
      </c>
      <c r="H20" s="58">
        <v>17</v>
      </c>
      <c r="I20" s="57">
        <v>500</v>
      </c>
      <c r="J20" s="57">
        <v>500</v>
      </c>
      <c r="K20" s="57">
        <v>0</v>
      </c>
      <c r="L20" s="57">
        <v>500</v>
      </c>
      <c r="M20" s="57">
        <v>500</v>
      </c>
      <c r="N20" s="63">
        <v>0</v>
      </c>
      <c r="O20" s="65" t="s">
        <v>103</v>
      </c>
      <c r="P20" s="60" t="s">
        <v>41</v>
      </c>
      <c r="Q20" s="60">
        <v>66</v>
      </c>
      <c r="R20" s="60">
        <v>67</v>
      </c>
      <c r="S20" s="64">
        <v>68</v>
      </c>
      <c r="V20" s="3" t="str">
        <f t="shared" si="0"/>
        <v>01</v>
      </c>
      <c r="W20" s="3" t="str">
        <f t="shared" si="1"/>
        <v>03</v>
      </c>
      <c r="X20" s="3" t="str">
        <f t="shared" si="2"/>
        <v>01</v>
      </c>
      <c r="Y20" s="3" t="str">
        <f t="shared" si="3"/>
        <v>40</v>
      </c>
      <c r="Z20" s="3" t="str">
        <f t="shared" si="4"/>
        <v>01</v>
      </c>
      <c r="AA20" s="3" t="str">
        <f t="shared" si="5"/>
        <v>04</v>
      </c>
      <c r="AB20" s="3" t="str">
        <f t="shared" si="6"/>
        <v>11</v>
      </c>
      <c r="AC20" s="3" t="str">
        <f t="shared" si="7"/>
        <v>01</v>
      </c>
      <c r="AD20" s="3" t="str">
        <f t="shared" si="8"/>
        <v>F4</v>
      </c>
      <c r="AE20" s="3" t="str">
        <f t="shared" si="9"/>
        <v>01</v>
      </c>
      <c r="AF20" s="3" t="str">
        <f t="shared" si="10"/>
        <v>F4</v>
      </c>
      <c r="AG20" s="3" t="str">
        <f t="shared" si="11"/>
        <v>00</v>
      </c>
      <c r="AH20" s="3" t="str">
        <f t="shared" si="12"/>
        <v>01</v>
      </c>
      <c r="AI20" s="3" t="str">
        <f t="shared" si="13"/>
        <v>F4</v>
      </c>
      <c r="AJ20" s="3" t="str">
        <f t="shared" si="14"/>
        <v>01</v>
      </c>
      <c r="AK20" s="3" t="str">
        <f t="shared" si="15"/>
        <v>F4</v>
      </c>
      <c r="AL20" s="3" t="str">
        <f t="shared" si="16"/>
        <v>00</v>
      </c>
    </row>
    <row r="21" spans="1:38" x14ac:dyDescent="0.25">
      <c r="A21" s="9">
        <v>19</v>
      </c>
      <c r="B21" s="5" t="s">
        <v>77</v>
      </c>
      <c r="C21" s="61" t="s">
        <v>78</v>
      </c>
      <c r="D21" s="57">
        <v>1</v>
      </c>
      <c r="E21" s="57">
        <v>3</v>
      </c>
      <c r="F21" s="57">
        <v>90</v>
      </c>
      <c r="G21" s="57">
        <v>120</v>
      </c>
      <c r="H21" s="57">
        <v>17</v>
      </c>
      <c r="I21" s="57">
        <v>0</v>
      </c>
      <c r="J21" s="57">
        <v>0</v>
      </c>
      <c r="K21" s="57">
        <v>0</v>
      </c>
      <c r="L21" s="57">
        <v>0</v>
      </c>
      <c r="M21" s="57">
        <v>0</v>
      </c>
      <c r="N21" s="63">
        <v>0</v>
      </c>
      <c r="O21" s="65" t="s">
        <v>103</v>
      </c>
      <c r="P21" s="60" t="s">
        <v>38</v>
      </c>
      <c r="Q21" s="60">
        <v>69</v>
      </c>
      <c r="R21" s="60">
        <v>70</v>
      </c>
      <c r="S21" s="64">
        <v>71</v>
      </c>
      <c r="V21" s="3" t="str">
        <f t="shared" si="0"/>
        <v>01</v>
      </c>
      <c r="W21" s="3" t="str">
        <f t="shared" si="1"/>
        <v>03</v>
      </c>
      <c r="X21" s="3" t="str">
        <f t="shared" si="2"/>
        <v>00</v>
      </c>
      <c r="Y21" s="3" t="str">
        <f t="shared" si="3"/>
        <v>5A</v>
      </c>
      <c r="Z21" s="3" t="str">
        <f t="shared" si="4"/>
        <v>00</v>
      </c>
      <c r="AA21" s="3" t="str">
        <f t="shared" si="5"/>
        <v>78</v>
      </c>
      <c r="AB21" s="3" t="str">
        <f t="shared" si="6"/>
        <v>11</v>
      </c>
      <c r="AC21" s="3" t="str">
        <f t="shared" si="7"/>
        <v>00</v>
      </c>
      <c r="AD21" s="3" t="str">
        <f t="shared" si="8"/>
        <v>00</v>
      </c>
      <c r="AE21" s="3" t="str">
        <f t="shared" si="9"/>
        <v>00</v>
      </c>
      <c r="AF21" s="3" t="str">
        <f t="shared" si="10"/>
        <v>00</v>
      </c>
      <c r="AG21" s="3" t="str">
        <f t="shared" si="11"/>
        <v>00</v>
      </c>
      <c r="AH21" s="3" t="str">
        <f t="shared" si="12"/>
        <v>00</v>
      </c>
      <c r="AI21" s="3" t="str">
        <f t="shared" si="13"/>
        <v>00</v>
      </c>
      <c r="AJ21" s="3" t="str">
        <f t="shared" si="14"/>
        <v>00</v>
      </c>
      <c r="AK21" s="3" t="str">
        <f t="shared" si="15"/>
        <v>00</v>
      </c>
      <c r="AL21" s="3" t="str">
        <f t="shared" si="16"/>
        <v>00</v>
      </c>
    </row>
    <row r="22" spans="1:38" x14ac:dyDescent="0.25">
      <c r="A22" s="9">
        <v>20</v>
      </c>
      <c r="B22" s="5" t="s">
        <v>79</v>
      </c>
      <c r="C22" s="61" t="s">
        <v>80</v>
      </c>
      <c r="D22" s="57">
        <v>2</v>
      </c>
      <c r="E22" s="57">
        <v>5</v>
      </c>
      <c r="F22" s="57">
        <v>100</v>
      </c>
      <c r="G22" s="57">
        <v>0</v>
      </c>
      <c r="H22" s="59">
        <v>17</v>
      </c>
      <c r="I22" s="57">
        <v>95</v>
      </c>
      <c r="J22" s="57">
        <v>85</v>
      </c>
      <c r="K22" s="57">
        <v>10</v>
      </c>
      <c r="L22" s="57">
        <v>85</v>
      </c>
      <c r="M22" s="57">
        <v>82</v>
      </c>
      <c r="N22" s="63">
        <v>1</v>
      </c>
      <c r="O22" s="65" t="s">
        <v>92</v>
      </c>
      <c r="P22" s="60" t="s">
        <v>38</v>
      </c>
      <c r="Q22" s="60">
        <v>74</v>
      </c>
      <c r="R22" s="60">
        <v>75</v>
      </c>
      <c r="S22" s="64">
        <v>76</v>
      </c>
      <c r="V22" s="3" t="str">
        <f t="shared" si="0"/>
        <v>02</v>
      </c>
      <c r="W22" s="3" t="str">
        <f t="shared" si="1"/>
        <v>05</v>
      </c>
      <c r="X22" s="3" t="str">
        <f t="shared" si="2"/>
        <v>00</v>
      </c>
      <c r="Y22" s="3" t="str">
        <f t="shared" si="3"/>
        <v>64</v>
      </c>
      <c r="Z22" s="3" t="str">
        <f t="shared" si="4"/>
        <v>00</v>
      </c>
      <c r="AA22" s="3" t="str">
        <f t="shared" si="5"/>
        <v>00</v>
      </c>
      <c r="AB22" s="3" t="str">
        <f t="shared" si="6"/>
        <v>11</v>
      </c>
      <c r="AC22" s="3" t="str">
        <f t="shared" si="7"/>
        <v>00</v>
      </c>
      <c r="AD22" s="3" t="str">
        <f t="shared" si="8"/>
        <v>5F</v>
      </c>
      <c r="AE22" s="3" t="str">
        <f t="shared" si="9"/>
        <v>00</v>
      </c>
      <c r="AF22" s="3" t="str">
        <f t="shared" si="10"/>
        <v>55</v>
      </c>
      <c r="AG22" s="3" t="str">
        <f t="shared" si="11"/>
        <v>0A</v>
      </c>
      <c r="AH22" s="3" t="str">
        <f t="shared" si="12"/>
        <v>00</v>
      </c>
      <c r="AI22" s="3" t="str">
        <f t="shared" si="13"/>
        <v>55</v>
      </c>
      <c r="AJ22" s="3" t="str">
        <f t="shared" si="14"/>
        <v>00</v>
      </c>
      <c r="AK22" s="3" t="str">
        <f t="shared" si="15"/>
        <v>52</v>
      </c>
      <c r="AL22" s="3" t="str">
        <f t="shared" si="16"/>
        <v>01</v>
      </c>
    </row>
    <row r="23" spans="1:38" x14ac:dyDescent="0.25">
      <c r="A23" s="9">
        <v>21</v>
      </c>
      <c r="B23" s="5" t="s">
        <v>81</v>
      </c>
      <c r="C23" s="61" t="s">
        <v>82</v>
      </c>
      <c r="D23" s="57">
        <v>2</v>
      </c>
      <c r="E23" s="57">
        <v>5</v>
      </c>
      <c r="F23" s="57">
        <v>10</v>
      </c>
      <c r="G23" s="57">
        <v>30</v>
      </c>
      <c r="H23" s="57">
        <v>17</v>
      </c>
      <c r="I23" s="57">
        <v>30</v>
      </c>
      <c r="J23" s="57">
        <v>35</v>
      </c>
      <c r="K23" s="57">
        <v>11</v>
      </c>
      <c r="L23" s="57">
        <v>0</v>
      </c>
      <c r="M23" s="57">
        <v>0</v>
      </c>
      <c r="N23" s="63">
        <v>0</v>
      </c>
      <c r="O23" s="65" t="s">
        <v>92</v>
      </c>
      <c r="P23" s="60" t="s">
        <v>41</v>
      </c>
      <c r="Q23" s="60">
        <v>77</v>
      </c>
      <c r="R23" s="60">
        <v>78</v>
      </c>
      <c r="S23" s="64">
        <v>79</v>
      </c>
      <c r="V23" s="3" t="str">
        <f t="shared" si="0"/>
        <v>02</v>
      </c>
      <c r="W23" s="3" t="str">
        <f t="shared" si="1"/>
        <v>05</v>
      </c>
      <c r="X23" s="3" t="str">
        <f t="shared" si="2"/>
        <v>00</v>
      </c>
      <c r="Y23" s="3" t="str">
        <f t="shared" si="3"/>
        <v>0A</v>
      </c>
      <c r="Z23" s="3" t="str">
        <f t="shared" si="4"/>
        <v>00</v>
      </c>
      <c r="AA23" s="3" t="str">
        <f t="shared" si="5"/>
        <v>1E</v>
      </c>
      <c r="AB23" s="3" t="str">
        <f t="shared" si="6"/>
        <v>11</v>
      </c>
      <c r="AC23" s="3" t="str">
        <f t="shared" si="7"/>
        <v>00</v>
      </c>
      <c r="AD23" s="3" t="str">
        <f t="shared" si="8"/>
        <v>1E</v>
      </c>
      <c r="AE23" s="3" t="str">
        <f t="shared" si="9"/>
        <v>00</v>
      </c>
      <c r="AF23" s="3" t="str">
        <f t="shared" si="10"/>
        <v>23</v>
      </c>
      <c r="AG23" s="3" t="str">
        <f t="shared" si="11"/>
        <v>0B</v>
      </c>
      <c r="AH23" s="3" t="str">
        <f t="shared" si="12"/>
        <v>00</v>
      </c>
      <c r="AI23" s="3" t="str">
        <f t="shared" si="13"/>
        <v>00</v>
      </c>
      <c r="AJ23" s="3" t="str">
        <f t="shared" si="14"/>
        <v>00</v>
      </c>
      <c r="AK23" s="3" t="str">
        <f t="shared" si="15"/>
        <v>00</v>
      </c>
      <c r="AL23" s="3" t="str">
        <f t="shared" si="16"/>
        <v>00</v>
      </c>
    </row>
    <row r="24" spans="1:38" customFormat="1" x14ac:dyDescent="0.25">
      <c r="A24" s="13">
        <v>22</v>
      </c>
      <c r="B24" s="14" t="s">
        <v>98</v>
      </c>
      <c r="C24" s="15" t="s">
        <v>99</v>
      </c>
      <c r="D24" s="57">
        <v>1</v>
      </c>
      <c r="E24" s="57">
        <v>5</v>
      </c>
      <c r="F24" s="57">
        <v>105</v>
      </c>
      <c r="G24" s="57">
        <v>0</v>
      </c>
      <c r="H24" s="57">
        <v>17</v>
      </c>
      <c r="I24" s="57">
        <v>0</v>
      </c>
      <c r="J24" s="57">
        <v>0</v>
      </c>
      <c r="K24" s="57">
        <v>0</v>
      </c>
      <c r="L24" s="57">
        <v>0</v>
      </c>
      <c r="M24" s="57">
        <v>0</v>
      </c>
      <c r="N24" s="63">
        <v>0</v>
      </c>
      <c r="O24" s="65" t="s">
        <v>92</v>
      </c>
      <c r="P24" s="60" t="s">
        <v>41</v>
      </c>
      <c r="Q24" s="60"/>
      <c r="R24" s="60"/>
      <c r="S24" s="64">
        <v>91</v>
      </c>
      <c r="T24" s="2"/>
      <c r="U24" s="2"/>
      <c r="V24" s="8" t="str">
        <f t="shared" si="0"/>
        <v>01</v>
      </c>
      <c r="W24" s="8" t="str">
        <f t="shared" si="1"/>
        <v>05</v>
      </c>
      <c r="X24" s="8" t="str">
        <f t="shared" si="2"/>
        <v>00</v>
      </c>
      <c r="Y24" s="8" t="str">
        <f t="shared" si="3"/>
        <v>69</v>
      </c>
      <c r="Z24" s="8" t="str">
        <f t="shared" si="4"/>
        <v>00</v>
      </c>
      <c r="AA24" s="8" t="str">
        <f t="shared" si="5"/>
        <v>00</v>
      </c>
      <c r="AB24" s="8" t="str">
        <f t="shared" si="6"/>
        <v>11</v>
      </c>
      <c r="AC24" s="8" t="str">
        <f t="shared" si="7"/>
        <v>00</v>
      </c>
      <c r="AD24" s="8" t="str">
        <f t="shared" si="8"/>
        <v>00</v>
      </c>
      <c r="AE24" s="8" t="str">
        <f t="shared" si="9"/>
        <v>00</v>
      </c>
      <c r="AF24" s="8" t="str">
        <f t="shared" si="10"/>
        <v>00</v>
      </c>
      <c r="AG24" s="8" t="str">
        <f t="shared" si="11"/>
        <v>00</v>
      </c>
      <c r="AH24" s="8" t="str">
        <f t="shared" si="12"/>
        <v>00</v>
      </c>
      <c r="AI24" s="8" t="str">
        <f t="shared" si="13"/>
        <v>00</v>
      </c>
      <c r="AJ24" s="8" t="str">
        <f t="shared" si="14"/>
        <v>00</v>
      </c>
      <c r="AK24" s="8" t="str">
        <f t="shared" si="15"/>
        <v>00</v>
      </c>
      <c r="AL24" s="8" t="str">
        <f t="shared" si="16"/>
        <v>00</v>
      </c>
    </row>
    <row r="25" spans="1:38" customFormat="1" x14ac:dyDescent="0.25">
      <c r="A25" s="13">
        <v>23</v>
      </c>
      <c r="B25" s="14" t="s">
        <v>90</v>
      </c>
      <c r="C25" s="15" t="s">
        <v>91</v>
      </c>
      <c r="D25" s="57">
        <v>1</v>
      </c>
      <c r="E25" s="57">
        <v>5</v>
      </c>
      <c r="F25" s="57">
        <v>105</v>
      </c>
      <c r="G25" s="57">
        <v>0</v>
      </c>
      <c r="H25" s="57">
        <v>17</v>
      </c>
      <c r="I25" s="57">
        <v>0</v>
      </c>
      <c r="J25" s="57">
        <v>0</v>
      </c>
      <c r="K25" s="57">
        <v>0</v>
      </c>
      <c r="L25" s="57">
        <v>0</v>
      </c>
      <c r="M25" s="57">
        <v>0</v>
      </c>
      <c r="N25" s="63">
        <v>0</v>
      </c>
      <c r="O25" s="65" t="s">
        <v>92</v>
      </c>
      <c r="P25" s="60" t="s">
        <v>41</v>
      </c>
      <c r="Q25" s="60"/>
      <c r="R25" s="60"/>
      <c r="S25" s="64">
        <v>92</v>
      </c>
      <c r="T25" s="2"/>
      <c r="U25" s="2"/>
      <c r="V25" s="8" t="str">
        <f t="shared" si="0"/>
        <v>01</v>
      </c>
      <c r="W25" s="8" t="str">
        <f t="shared" si="1"/>
        <v>05</v>
      </c>
      <c r="X25" s="8" t="str">
        <f t="shared" si="2"/>
        <v>00</v>
      </c>
      <c r="Y25" s="8" t="str">
        <f t="shared" si="3"/>
        <v>69</v>
      </c>
      <c r="Z25" s="8" t="str">
        <f t="shared" si="4"/>
        <v>00</v>
      </c>
      <c r="AA25" s="8" t="str">
        <f t="shared" si="5"/>
        <v>00</v>
      </c>
      <c r="AB25" s="8" t="str">
        <f t="shared" si="6"/>
        <v>11</v>
      </c>
      <c r="AC25" s="8" t="str">
        <f t="shared" si="7"/>
        <v>00</v>
      </c>
      <c r="AD25" s="8" t="str">
        <f t="shared" si="8"/>
        <v>00</v>
      </c>
      <c r="AE25" s="8" t="str">
        <f t="shared" si="9"/>
        <v>00</v>
      </c>
      <c r="AF25" s="8" t="str">
        <f t="shared" si="10"/>
        <v>00</v>
      </c>
      <c r="AG25" s="8" t="str">
        <f t="shared" si="11"/>
        <v>00</v>
      </c>
      <c r="AH25" s="8" t="str">
        <f t="shared" si="12"/>
        <v>00</v>
      </c>
      <c r="AI25" s="8" t="str">
        <f t="shared" si="13"/>
        <v>00</v>
      </c>
      <c r="AJ25" s="8" t="str">
        <f t="shared" si="14"/>
        <v>00</v>
      </c>
      <c r="AK25" s="8" t="str">
        <f t="shared" si="15"/>
        <v>00</v>
      </c>
      <c r="AL25" s="8" t="str">
        <f t="shared" si="16"/>
        <v>00</v>
      </c>
    </row>
    <row r="26" spans="1:38" customFormat="1" x14ac:dyDescent="0.25">
      <c r="A26" s="13">
        <v>24</v>
      </c>
      <c r="B26" s="14" t="s">
        <v>93</v>
      </c>
      <c r="C26" s="15" t="s">
        <v>94</v>
      </c>
      <c r="D26" s="57">
        <v>3</v>
      </c>
      <c r="E26" s="57">
        <v>3</v>
      </c>
      <c r="F26" s="57">
        <v>200</v>
      </c>
      <c r="G26" s="57">
        <v>200</v>
      </c>
      <c r="H26" s="57">
        <v>0</v>
      </c>
      <c r="I26" s="57">
        <v>140</v>
      </c>
      <c r="J26" s="57">
        <v>0</v>
      </c>
      <c r="K26" s="57">
        <v>17</v>
      </c>
      <c r="L26" s="57">
        <v>135</v>
      </c>
      <c r="M26" s="57">
        <v>130</v>
      </c>
      <c r="N26" s="63">
        <v>10</v>
      </c>
      <c r="O26" s="65" t="s">
        <v>92</v>
      </c>
      <c r="P26" s="60" t="s">
        <v>38</v>
      </c>
      <c r="Q26" s="60">
        <v>93</v>
      </c>
      <c r="R26" s="60">
        <v>94</v>
      </c>
      <c r="S26" s="64"/>
      <c r="T26" s="2"/>
      <c r="U26" s="2"/>
      <c r="V26" s="8" t="str">
        <f t="shared" si="0"/>
        <v>03</v>
      </c>
      <c r="W26" s="8" t="str">
        <f t="shared" si="1"/>
        <v>03</v>
      </c>
      <c r="X26" s="8" t="str">
        <f t="shared" si="2"/>
        <v>00</v>
      </c>
      <c r="Y26" s="8" t="str">
        <f t="shared" si="3"/>
        <v>C8</v>
      </c>
      <c r="Z26" s="8" t="str">
        <f t="shared" si="4"/>
        <v>00</v>
      </c>
      <c r="AA26" s="8" t="str">
        <f t="shared" si="5"/>
        <v>C8</v>
      </c>
      <c r="AB26" s="8" t="str">
        <f t="shared" si="6"/>
        <v>00</v>
      </c>
      <c r="AC26" s="8" t="str">
        <f t="shared" si="7"/>
        <v>00</v>
      </c>
      <c r="AD26" s="8" t="str">
        <f t="shared" si="8"/>
        <v>8C</v>
      </c>
      <c r="AE26" s="8" t="str">
        <f t="shared" si="9"/>
        <v>00</v>
      </c>
      <c r="AF26" s="8" t="str">
        <f t="shared" si="10"/>
        <v>00</v>
      </c>
      <c r="AG26" s="8" t="str">
        <f t="shared" si="11"/>
        <v>11</v>
      </c>
      <c r="AH26" s="8" t="str">
        <f t="shared" si="12"/>
        <v>00</v>
      </c>
      <c r="AI26" s="8" t="str">
        <f t="shared" si="13"/>
        <v>87</v>
      </c>
      <c r="AJ26" s="8" t="str">
        <f t="shared" si="14"/>
        <v>00</v>
      </c>
      <c r="AK26" s="8" t="str">
        <f t="shared" si="15"/>
        <v>82</v>
      </c>
      <c r="AL26" s="8" t="str">
        <f t="shared" si="16"/>
        <v>0A</v>
      </c>
    </row>
    <row r="27" spans="1:38" customFormat="1" x14ac:dyDescent="0.25">
      <c r="A27" s="13">
        <v>25</v>
      </c>
      <c r="B27" s="14" t="s">
        <v>95</v>
      </c>
      <c r="C27" s="15" t="s">
        <v>96</v>
      </c>
      <c r="D27" s="57">
        <v>1</v>
      </c>
      <c r="E27" s="57">
        <v>3</v>
      </c>
      <c r="F27" s="57">
        <v>100</v>
      </c>
      <c r="G27" s="57">
        <v>0</v>
      </c>
      <c r="H27" s="57">
        <v>17</v>
      </c>
      <c r="I27" s="57">
        <v>0</v>
      </c>
      <c r="J27" s="57">
        <v>0</v>
      </c>
      <c r="K27" s="57">
        <v>0</v>
      </c>
      <c r="L27" s="57">
        <v>0</v>
      </c>
      <c r="M27" s="57">
        <v>0</v>
      </c>
      <c r="N27" s="63">
        <v>0</v>
      </c>
      <c r="O27" s="66" t="s">
        <v>97</v>
      </c>
      <c r="P27" s="60" t="s">
        <v>38</v>
      </c>
      <c r="Q27" s="60"/>
      <c r="R27" s="60"/>
      <c r="S27" s="64">
        <v>96</v>
      </c>
      <c r="T27" s="2"/>
      <c r="U27" s="2"/>
      <c r="V27" s="8" t="str">
        <f t="shared" si="0"/>
        <v>01</v>
      </c>
      <c r="W27" s="8" t="str">
        <f t="shared" si="1"/>
        <v>03</v>
      </c>
      <c r="X27" s="8" t="str">
        <f t="shared" si="2"/>
        <v>00</v>
      </c>
      <c r="Y27" s="8" t="str">
        <f t="shared" si="3"/>
        <v>64</v>
      </c>
      <c r="Z27" s="8" t="str">
        <f t="shared" si="4"/>
        <v>00</v>
      </c>
      <c r="AA27" s="8" t="str">
        <f t="shared" si="5"/>
        <v>00</v>
      </c>
      <c r="AB27" s="8" t="str">
        <f t="shared" si="6"/>
        <v>11</v>
      </c>
      <c r="AC27" s="8" t="str">
        <f t="shared" si="7"/>
        <v>00</v>
      </c>
      <c r="AD27" s="8" t="str">
        <f t="shared" si="8"/>
        <v>00</v>
      </c>
      <c r="AE27" s="8" t="str">
        <f t="shared" si="9"/>
        <v>00</v>
      </c>
      <c r="AF27" s="8" t="str">
        <f t="shared" si="10"/>
        <v>00</v>
      </c>
      <c r="AG27" s="8" t="str">
        <f t="shared" si="11"/>
        <v>00</v>
      </c>
      <c r="AH27" s="8" t="str">
        <f t="shared" si="12"/>
        <v>00</v>
      </c>
      <c r="AI27" s="8" t="str">
        <f t="shared" si="13"/>
        <v>00</v>
      </c>
      <c r="AJ27" s="8" t="str">
        <f t="shared" si="14"/>
        <v>00</v>
      </c>
      <c r="AK27" s="8" t="str">
        <f t="shared" si="15"/>
        <v>00</v>
      </c>
      <c r="AL27" s="8" t="str">
        <f t="shared" si="16"/>
        <v>00</v>
      </c>
    </row>
    <row r="28" spans="1:38" x14ac:dyDescent="0.25">
      <c r="A28" s="9" t="s">
        <v>172</v>
      </c>
      <c r="B28" s="11" t="s">
        <v>171</v>
      </c>
      <c r="C28" s="10" t="s">
        <v>84</v>
      </c>
      <c r="V28" s="10"/>
    </row>
    <row r="29" spans="1:38" x14ac:dyDescent="0.25">
      <c r="C29" s="10"/>
      <c r="D29" s="7"/>
      <c r="E29" s="7"/>
      <c r="F29" s="7"/>
      <c r="G29" s="7"/>
      <c r="H29" s="7"/>
      <c r="I29" s="7"/>
      <c r="J29" s="7"/>
      <c r="K29" s="7"/>
      <c r="L29" s="7"/>
      <c r="M29" s="7"/>
      <c r="N29" s="7"/>
      <c r="V29" s="10"/>
    </row>
    <row r="30" spans="1:38" ht="13.8" customHeight="1" x14ac:dyDescent="0.25">
      <c r="A30" s="13">
        <f>ROW()-29</f>
        <v>1</v>
      </c>
      <c r="B30" s="17" t="str">
        <f t="shared" ref="B30:B54" si="17">B3</f>
        <v>0xF001</v>
      </c>
      <c r="C30" s="91" t="str">
        <f>"[0x"&amp;_xlfn.TEXTJOIN(",0x",TRUE,V3:AL3)&amp;"]"</f>
        <v>[0x03,0x02,0x0D,0xDE,0x00,0x00,0x11,0x0D,0xAC,0x0D,0x7F,0x10,0x0D,0x7F,0x0D,0x7A,0x10]</v>
      </c>
      <c r="M30"/>
      <c r="N30"/>
      <c r="O30"/>
      <c r="P30"/>
      <c r="Q30"/>
      <c r="R30"/>
      <c r="S30"/>
      <c r="T30"/>
      <c r="U30"/>
      <c r="V30"/>
    </row>
    <row r="31" spans="1:38" ht="14.4" x14ac:dyDescent="0.25">
      <c r="A31" s="13">
        <f t="shared" ref="A31:A54" si="18">ROW()-29</f>
        <v>2</v>
      </c>
      <c r="B31" s="17" t="str">
        <f t="shared" si="17"/>
        <v>0xF002</v>
      </c>
      <c r="C31" s="91" t="str">
        <f t="shared" ref="C31:C54" si="19">"[0x"&amp;_xlfn.TEXTJOIN(",0x",TRUE,V4:AL4)&amp;"]"</f>
        <v>[0x03,0x02,0x0B,0x22,0x11,0x94,0x0E,0x0B,0x54,0x0B,0x86,0x09,0x0B,0x86,0x0B,0xB8,0x09]</v>
      </c>
      <c r="M31"/>
      <c r="N31"/>
      <c r="O31"/>
      <c r="P31"/>
      <c r="Q31"/>
      <c r="R31"/>
      <c r="S31"/>
      <c r="T31"/>
      <c r="U31"/>
      <c r="V31"/>
    </row>
    <row r="32" spans="1:38" ht="14.4" x14ac:dyDescent="0.25">
      <c r="A32" s="13">
        <f t="shared" si="18"/>
        <v>3</v>
      </c>
      <c r="B32" s="17" t="str">
        <f t="shared" si="17"/>
        <v>0xF003</v>
      </c>
      <c r="C32" s="91" t="str">
        <f t="shared" si="19"/>
        <v>[0x03,0x05,0x00,0xFA,0x00,0x00,0x11,0x00,0xC8,0x00,0xC3,0x0B,0x00,0x96,0x00,0x91,0x01]</v>
      </c>
      <c r="M32"/>
      <c r="N32"/>
      <c r="O32"/>
      <c r="P32"/>
      <c r="Q32"/>
      <c r="R32"/>
      <c r="S32"/>
      <c r="T32"/>
      <c r="U32"/>
      <c r="V32"/>
    </row>
    <row r="33" spans="1:51" ht="14.4" x14ac:dyDescent="0.25">
      <c r="A33" s="13">
        <f t="shared" si="18"/>
        <v>4</v>
      </c>
      <c r="B33" s="17" t="str">
        <f t="shared" si="17"/>
        <v>0xF01E</v>
      </c>
      <c r="C33" s="91" t="str">
        <f t="shared" si="19"/>
        <v>[0x03,0x02,0x02,0x7F,0x00,0x00,0x11,0x02,0x76,0x02,0x6D,0x10,0x02,0x6D,0x02,0x6D,0x10]</v>
      </c>
      <c r="M33"/>
      <c r="N33"/>
      <c r="O33"/>
      <c r="P33"/>
      <c r="Q33"/>
      <c r="R33"/>
      <c r="S33"/>
      <c r="T33"/>
      <c r="U33"/>
      <c r="V33"/>
    </row>
    <row r="34" spans="1:51" ht="14.4" x14ac:dyDescent="0.25">
      <c r="A34" s="13">
        <f t="shared" si="18"/>
        <v>5</v>
      </c>
      <c r="B34" s="17" t="str">
        <f t="shared" si="17"/>
        <v>0xF01F</v>
      </c>
      <c r="C34" s="91" t="str">
        <f t="shared" si="19"/>
        <v>[0x03,0x02,0x02,0x01,0x03,0x2A,0x0E,0x02,0x0A,0x02,0x13,0x0E,0x02,0x13,0x02,0x1C,0x09]</v>
      </c>
      <c r="M34"/>
      <c r="N34"/>
      <c r="O34"/>
      <c r="P34"/>
      <c r="Q34"/>
      <c r="R34"/>
      <c r="S34"/>
      <c r="T34"/>
      <c r="U34"/>
      <c r="V34"/>
    </row>
    <row r="35" spans="1:51" ht="14.4" x14ac:dyDescent="0.25">
      <c r="A35" s="13">
        <f t="shared" si="18"/>
        <v>6</v>
      </c>
      <c r="B35" s="17" t="str">
        <f t="shared" si="17"/>
        <v>0xF00B</v>
      </c>
      <c r="C35" s="91" t="str">
        <f t="shared" si="19"/>
        <v>[0x03,0x02,0x02,0x7F,0x00,0x00,0x11,0x02,0x76,0x02,0x6D,0x10,0x02,0x6D,0x02,0x6D,0x10]</v>
      </c>
      <c r="M35"/>
      <c r="N35"/>
      <c r="O35"/>
      <c r="P35"/>
      <c r="Q35"/>
      <c r="R35"/>
      <c r="S35"/>
      <c r="T35"/>
      <c r="U35"/>
      <c r="V35"/>
    </row>
    <row r="36" spans="1:51" ht="14.4" x14ac:dyDescent="0.25">
      <c r="A36" s="13">
        <f t="shared" si="18"/>
        <v>7</v>
      </c>
      <c r="B36" s="17" t="str">
        <f t="shared" si="17"/>
        <v>0xF00C</v>
      </c>
      <c r="C36" s="91" t="str">
        <f t="shared" si="19"/>
        <v>[0x03,0x02,0x02,0x01,0x03,0x2A,0x0E,0x02,0x0A,0x02,0x13,0x0E,0x02,0x13,0x02,0x1C,0x09]</v>
      </c>
      <c r="M36"/>
      <c r="N36"/>
      <c r="O36"/>
      <c r="P36"/>
      <c r="Q36"/>
      <c r="R36"/>
      <c r="S36"/>
      <c r="T36"/>
      <c r="U36"/>
      <c r="V36"/>
    </row>
    <row r="37" spans="1:51" ht="14.4" x14ac:dyDescent="0.25">
      <c r="A37" s="13">
        <f t="shared" si="18"/>
        <v>8</v>
      </c>
      <c r="B37" s="17" t="str">
        <f t="shared" si="17"/>
        <v>0xF00E</v>
      </c>
      <c r="C37" s="91" t="str">
        <f t="shared" si="19"/>
        <v>[0x03,0x05,0x75,0xC6,0x75,0x30,0x11,0x75,0x94,0x75,0x30,0x09,0x75,0x62,0x75,0x30,0x01]</v>
      </c>
      <c r="M37"/>
      <c r="N37"/>
      <c r="O37"/>
      <c r="P37"/>
      <c r="Q37"/>
      <c r="R37"/>
      <c r="S37"/>
      <c r="T37"/>
      <c r="U37"/>
      <c r="V37"/>
    </row>
    <row r="38" spans="1:51" ht="14.4" x14ac:dyDescent="0.25">
      <c r="A38" s="13">
        <f t="shared" si="18"/>
        <v>9</v>
      </c>
      <c r="B38" s="17" t="str">
        <f t="shared" si="17"/>
        <v>0xF00F</v>
      </c>
      <c r="C38" s="91" t="str">
        <f t="shared" si="19"/>
        <v>[0x03,0x05,0x75,0xC6,0x75,0x30,0x11,0x75,0x94,0x75,0x30,0x0A,0x75,0x62,0x75,0x30,0x01]</v>
      </c>
      <c r="M38"/>
      <c r="N38"/>
      <c r="O38"/>
      <c r="P38"/>
      <c r="Q38"/>
      <c r="R38"/>
      <c r="S38"/>
      <c r="T38"/>
      <c r="U38"/>
      <c r="V38"/>
    </row>
    <row r="39" spans="1:51" ht="14.4" x14ac:dyDescent="0.25">
      <c r="A39" s="13">
        <f t="shared" si="18"/>
        <v>10</v>
      </c>
      <c r="B39" s="17" t="str">
        <f t="shared" si="17"/>
        <v>0xF014</v>
      </c>
      <c r="C39" s="91" t="str">
        <f t="shared" si="19"/>
        <v>[0x03,0x14,0x02,0x58,0x03,0x20,0x11,0x03,0x20,0x03,0xE8,0x0B,0x03,0xE8,0x04,0xB0,0x01]</v>
      </c>
      <c r="M39"/>
      <c r="N39"/>
      <c r="O39"/>
      <c r="P39"/>
      <c r="Q39"/>
      <c r="R39"/>
      <c r="S39"/>
      <c r="T39"/>
      <c r="U39"/>
      <c r="V39"/>
    </row>
    <row r="40" spans="1:51" ht="14.4" x14ac:dyDescent="0.25">
      <c r="A40" s="13">
        <f t="shared" si="18"/>
        <v>11</v>
      </c>
      <c r="B40" s="17" t="str">
        <f t="shared" si="17"/>
        <v>0xF020</v>
      </c>
      <c r="C40" s="91" t="str">
        <f t="shared" si="19"/>
        <v>[0x03,0x05,0x00,0x64,0x00,0x00,0x11,0x00,0x5F,0x00,0x5A,0x0B,0x00,0x5A,0x00,0x55,0x01]</v>
      </c>
      <c r="M40"/>
      <c r="N40"/>
      <c r="O40"/>
      <c r="P40"/>
      <c r="Q40"/>
      <c r="R40"/>
      <c r="S40"/>
      <c r="T40"/>
      <c r="U40"/>
      <c r="V40"/>
    </row>
    <row r="41" spans="1:51" ht="14.4" x14ac:dyDescent="0.25">
      <c r="A41" s="13">
        <f t="shared" si="18"/>
        <v>12</v>
      </c>
      <c r="B41" s="17" t="str">
        <f t="shared" si="17"/>
        <v>0xF021</v>
      </c>
      <c r="C41" s="91" t="str">
        <f t="shared" si="19"/>
        <v>[0x03,0x05,0x00,0x2A,0x00,0x64,0x10,0x00,0x2C,0x00,0x2E,0x0B,0x00,0x2E,0x00,0x30,0x0A]</v>
      </c>
      <c r="M41"/>
      <c r="N41"/>
      <c r="O41"/>
      <c r="P41"/>
      <c r="Q41"/>
      <c r="R41"/>
      <c r="S41"/>
      <c r="T41"/>
      <c r="U41"/>
      <c r="V41"/>
    </row>
    <row r="42" spans="1:51" ht="14.4" x14ac:dyDescent="0.25">
      <c r="A42" s="13">
        <f t="shared" si="18"/>
        <v>13</v>
      </c>
      <c r="B42" s="17" t="str">
        <f t="shared" si="17"/>
        <v>0xF006</v>
      </c>
      <c r="C42" s="91" t="str">
        <f t="shared" si="19"/>
        <v>[0x03,0x05,0x00,0x64,0x00,0x00,0x11,0x00,0x5F,0x00,0x5A,0x0B,0x00,0x5A,0x00,0x55,0x01]</v>
      </c>
      <c r="M42"/>
      <c r="N42"/>
      <c r="O42"/>
      <c r="P42"/>
      <c r="Q42"/>
      <c r="R42"/>
      <c r="S42"/>
      <c r="T42"/>
      <c r="U42"/>
      <c r="V42"/>
    </row>
    <row r="43" spans="1:51" ht="14.4" x14ac:dyDescent="0.25">
      <c r="A43" s="13">
        <f t="shared" si="18"/>
        <v>14</v>
      </c>
      <c r="B43" s="17" t="str">
        <f t="shared" si="17"/>
        <v>0xF007</v>
      </c>
      <c r="C43" s="91" t="str">
        <f t="shared" si="19"/>
        <v>[0x03,0x05,0x00,0x0A,0x00,0x64,0x11,0x00,0x1C,0x00,0x1E,0x0B,0x00,0x1E,0x00,0x20,0x09]</v>
      </c>
      <c r="M43"/>
      <c r="N43"/>
      <c r="O43"/>
      <c r="P43"/>
      <c r="Q43"/>
      <c r="R43"/>
      <c r="S43"/>
      <c r="T43"/>
      <c r="U43"/>
      <c r="V43"/>
    </row>
    <row r="44" spans="1:51" ht="14.4" x14ac:dyDescent="0.25">
      <c r="A44" s="13">
        <f t="shared" si="18"/>
        <v>15</v>
      </c>
      <c r="B44" s="17" t="str">
        <f t="shared" si="17"/>
        <v>0xF008</v>
      </c>
      <c r="C44" s="91" t="str">
        <f t="shared" si="19"/>
        <v>[0x03,0x0A,0x00,0x37,0x00,0x00,0x11,0x00,0x32,0x00,0x31,0x01,0x00,0x30,0x00,0x2F,0x01]</v>
      </c>
      <c r="M44"/>
      <c r="N44"/>
      <c r="O44"/>
      <c r="P44"/>
      <c r="Q44"/>
      <c r="R44"/>
      <c r="S44"/>
      <c r="T44"/>
      <c r="U44"/>
      <c r="V44"/>
    </row>
    <row r="45" spans="1:51" ht="14.4" x14ac:dyDescent="0.25">
      <c r="A45" s="13">
        <f t="shared" si="18"/>
        <v>16</v>
      </c>
      <c r="B45" s="17" t="str">
        <f t="shared" si="17"/>
        <v>0xF023</v>
      </c>
      <c r="C45" s="91" t="str">
        <f t="shared" si="19"/>
        <v>[0x03,0x03,0x00,0x00,0x00,0x05,0x01,0x00,0x0A,0x00,0x0A,0x01,0x00,0x14,0x00,0x14,0x01]</v>
      </c>
      <c r="M45"/>
      <c r="N45"/>
      <c r="O45"/>
      <c r="P45"/>
      <c r="Q45"/>
      <c r="R45"/>
      <c r="S45"/>
      <c r="T45"/>
      <c r="U45"/>
      <c r="V45"/>
    </row>
    <row r="46" spans="1:51" ht="14.4" x14ac:dyDescent="0.25">
      <c r="A46" s="13">
        <f t="shared" si="18"/>
        <v>17</v>
      </c>
      <c r="B46" s="17" t="str">
        <f t="shared" si="17"/>
        <v>0xF024</v>
      </c>
      <c r="C46" s="91" t="str">
        <f t="shared" si="19"/>
        <v>[0x03,0x03,0x00,0x00,0x00,0x00,0x00,0x00,0x00,0x00,0x00,0x00,0x00,0x46,0x00,0x65,0x01]</v>
      </c>
      <c r="M46"/>
      <c r="N46"/>
      <c r="O46"/>
      <c r="P46"/>
      <c r="Q46"/>
      <c r="R46"/>
      <c r="S46"/>
      <c r="T46"/>
      <c r="U46"/>
      <c r="V46"/>
      <c r="AY46" s="2" t="s">
        <v>83</v>
      </c>
    </row>
    <row r="47" spans="1:51" ht="14.4" x14ac:dyDescent="0.25">
      <c r="A47" s="13">
        <f t="shared" si="18"/>
        <v>18</v>
      </c>
      <c r="B47" s="17" t="str">
        <f t="shared" si="17"/>
        <v>0xF012</v>
      </c>
      <c r="C47" s="91" t="str">
        <f>"[0x"&amp;_xlfn.TEXTJOIN(",0x",TRUE,V20:AL20)&amp;"]"</f>
        <v>[0x01,0x03,0x01,0x40,0x01,0x04,0x11,0x01,0xF4,0x01,0xF4,0x00,0x01,0xF4,0x01,0xF4,0x00]</v>
      </c>
      <c r="M47"/>
      <c r="N47"/>
      <c r="O47"/>
      <c r="P47"/>
      <c r="Q47"/>
      <c r="R47"/>
      <c r="S47"/>
      <c r="T47"/>
      <c r="U47"/>
      <c r="V47"/>
    </row>
    <row r="48" spans="1:51" ht="14.4" x14ac:dyDescent="0.25">
      <c r="A48" s="13">
        <f t="shared" si="18"/>
        <v>19</v>
      </c>
      <c r="B48" s="17" t="str">
        <f t="shared" si="17"/>
        <v>0xF013</v>
      </c>
      <c r="C48" s="91" t="str">
        <f t="shared" si="19"/>
        <v>[0x01,0x03,0x00,0x5A,0x00,0x78,0x11,0x00,0x00,0x00,0x00,0x00,0x00,0x00,0x00,0x00,0x00]</v>
      </c>
      <c r="M48"/>
      <c r="N48"/>
      <c r="O48"/>
      <c r="P48"/>
      <c r="Q48"/>
      <c r="R48"/>
      <c r="S48"/>
      <c r="T48"/>
      <c r="U48"/>
      <c r="V48"/>
    </row>
    <row r="49" spans="1:40" ht="14.4" x14ac:dyDescent="0.25">
      <c r="A49" s="13">
        <f t="shared" si="18"/>
        <v>20</v>
      </c>
      <c r="B49" s="17" t="str">
        <f t="shared" si="17"/>
        <v>0xF010</v>
      </c>
      <c r="C49" s="91" t="str">
        <f t="shared" si="19"/>
        <v>[0x02,0x05,0x00,0x64,0x00,0x00,0x11,0x00,0x5F,0x00,0x55,0x0A,0x00,0x55,0x00,0x52,0x01]</v>
      </c>
      <c r="M49"/>
      <c r="N49"/>
      <c r="O49"/>
      <c r="P49"/>
      <c r="Q49"/>
      <c r="R49"/>
      <c r="S49"/>
      <c r="T49"/>
      <c r="U49"/>
      <c r="V49"/>
    </row>
    <row r="50" spans="1:40" ht="14.4" x14ac:dyDescent="0.25">
      <c r="A50" s="13">
        <f t="shared" si="18"/>
        <v>21</v>
      </c>
      <c r="B50" s="17" t="str">
        <f t="shared" si="17"/>
        <v>0xF011</v>
      </c>
      <c r="C50" s="91" t="str">
        <f t="shared" si="19"/>
        <v>[0x02,0x05,0x00,0x0A,0x00,0x1E,0x11,0x00,0x1E,0x00,0x23,0x0B,0x00,0x00,0x00,0x00,0x00]</v>
      </c>
      <c r="M50"/>
      <c r="N50"/>
      <c r="O50"/>
      <c r="P50"/>
      <c r="Q50"/>
      <c r="R50"/>
      <c r="S50"/>
      <c r="T50"/>
      <c r="U50"/>
      <c r="V50"/>
    </row>
    <row r="51" spans="1:40" ht="14.4" x14ac:dyDescent="0.25">
      <c r="A51" s="13">
        <f t="shared" si="18"/>
        <v>22</v>
      </c>
      <c r="B51" s="17" t="str">
        <f t="shared" si="17"/>
        <v>0xF019</v>
      </c>
      <c r="C51" s="91" t="str">
        <f t="shared" si="19"/>
        <v>[0x01,0x05,0x00,0x69,0x00,0x00,0x11,0x00,0x00,0x00,0x00,0x00,0x00,0x00,0x00,0x00,0x00]</v>
      </c>
      <c r="M51"/>
      <c r="N51"/>
      <c r="O51"/>
      <c r="P51"/>
      <c r="Q51"/>
      <c r="R51"/>
      <c r="S51"/>
      <c r="T51"/>
      <c r="U51"/>
      <c r="V51"/>
    </row>
    <row r="52" spans="1:40" ht="14.4" x14ac:dyDescent="0.25">
      <c r="A52" s="13">
        <f t="shared" si="18"/>
        <v>23</v>
      </c>
      <c r="B52" s="17" t="str">
        <f t="shared" si="17"/>
        <v>0xF01A</v>
      </c>
      <c r="C52" s="91" t="str">
        <f t="shared" si="19"/>
        <v>[0x01,0x05,0x00,0x69,0x00,0x00,0x11,0x00,0x00,0x00,0x00,0x00,0x00,0x00,0x00,0x00,0x00]</v>
      </c>
      <c r="M52"/>
      <c r="N52"/>
      <c r="O52"/>
      <c r="P52"/>
      <c r="Q52"/>
      <c r="R52"/>
      <c r="S52"/>
      <c r="T52"/>
      <c r="U52"/>
      <c r="V52"/>
    </row>
    <row r="53" spans="1:40" ht="14.4" x14ac:dyDescent="0.25">
      <c r="A53" s="13">
        <f t="shared" si="18"/>
        <v>24</v>
      </c>
      <c r="B53" s="17" t="str">
        <f t="shared" si="17"/>
        <v>0xF01B</v>
      </c>
      <c r="C53" s="91" t="str">
        <f t="shared" si="19"/>
        <v>[0x03,0x03,0x00,0xC8,0x00,0xC8,0x00,0x00,0x8C,0x00,0x00,0x11,0x00,0x87,0x00,0x82,0x0A]</v>
      </c>
      <c r="M53"/>
      <c r="N53"/>
      <c r="O53"/>
      <c r="P53"/>
      <c r="Q53"/>
      <c r="R53"/>
      <c r="S53"/>
      <c r="T53"/>
      <c r="U53"/>
      <c r="V53"/>
    </row>
    <row r="54" spans="1:40" ht="14.4" x14ac:dyDescent="0.25">
      <c r="A54" s="13">
        <f t="shared" si="18"/>
        <v>25</v>
      </c>
      <c r="B54" s="17" t="str">
        <f t="shared" si="17"/>
        <v>0xF01C</v>
      </c>
      <c r="C54" s="91" t="str">
        <f t="shared" si="19"/>
        <v>[0x01,0x03,0x00,0x64,0x00,0x00,0x11,0x00,0x00,0x00,0x00,0x00,0x00,0x00,0x00,0x00,0x00]</v>
      </c>
      <c r="M54"/>
      <c r="N54"/>
      <c r="O54"/>
      <c r="P54"/>
      <c r="Q54"/>
      <c r="R54"/>
      <c r="S54"/>
      <c r="T54"/>
      <c r="U54"/>
      <c r="V54"/>
    </row>
    <row r="55" spans="1:40" customFormat="1" ht="14.4" x14ac:dyDescent="0.25">
      <c r="C55" s="92" t="str">
        <f>"["&amp;_xlfn.TEXTJOIN(";",TRUE,C30:C54)&amp;"]"</f>
        <v>[[0x03,0x02,0x0D,0xDE,0x00,0x00,0x11,0x0D,0xAC,0x0D,0x7F,0x10,0x0D,0x7F,0x0D,0x7A,0x10];[0x03,0x02,0x0B,0x22,0x11,0x94,0x0E,0x0B,0x54,0x0B,0x86,0x09,0x0B,0x86,0x0B,0xB8,0x09];[0x03,0x05,0x00,0xFA,0x00,0x00,0x11,0x00,0xC8,0x00,0xC3,0x0B,0x00,0x96,0x00,0x91,0x01];[0x03,0x02,0x02,0x7F,0x00,0x00,0x11,0x02,0x76,0x02,0x6D,0x10,0x02,0x6D,0x02,0x6D,0x10];[0x03,0x02,0x02,0x01,0x03,0x2A,0x0E,0x02,0x0A,0x02,0x13,0x0E,0x02,0x13,0x02,0x1C,0x09];[0x03,0x02,0x02,0x7F,0x00,0x00,0x11,0x02,0x76,0x02,0x6D,0x10,0x02,0x6D,0x02,0x6D,0x10];[0x03,0x02,0x02,0x01,0x03,0x2A,0x0E,0x02,0x0A,0x02,0x13,0x0E,0x02,0x13,0x02,0x1C,0x09];[0x03,0x05,0x75,0xC6,0x75,0x30,0x11,0x75,0x94,0x75,0x30,0x09,0x75,0x62,0x75,0x30,0x01];[0x03,0x05,0x75,0xC6,0x75,0x30,0x11,0x75,0x94,0x75,0x30,0x0A,0x75,0x62,0x75,0x30,0x01];[0x03,0x14,0x02,0x58,0x03,0x20,0x11,0x03,0x20,0x03,0xE8,0x0B,0x03,0xE8,0x04,0xB0,0x01];[0x03,0x05,0x00,0x64,0x00,0x00,0x11,0x00,0x5F,0x00,0x5A,0x0B,0x00,0x5A,0x00,0x55,0x01];[0x03,0x05,0x00,0x2A,0x00,0x64,0x10,0x00,0x2C,0x00,0x2E,0x0B,0x00,0x2E,0x00,0x30,0x0A];[0x03,0x05,0x00,0x64,0x00,0x00,0x11,0x00,0x5F,0x00,0x5A,0x0B,0x00,0x5A,0x00,0x55,0x01];[0x03,0x05,0x00,0x0A,0x00,0x64,0x11,0x00,0x1C,0x00,0x1E,0x0B,0x00,0x1E,0x00,0x20,0x09];[0x03,0x0A,0x00,0x37,0x00,0x00,0x11,0x00,0x32,0x00,0x31,0x01,0x00,0x30,0x00,0x2F,0x01];[0x03,0x03,0x00,0x00,0x00,0x05,0x01,0x00,0x0A,0x00,0x0A,0x01,0x00,0x14,0x00,0x14,0x01];[0x03,0x03,0x00,0x00,0x00,0x00,0x00,0x00,0x00,0x00,0x00,0x00,0x00,0x46,0x00,0x65,0x01];[0x01,0x03,0x01,0x40,0x01,0x04,0x11,0x01,0xF4,0x01,0xF4,0x00,0x01,0xF4,0x01,0xF4,0x00];[0x01,0x03,0x00,0x5A,0x00,0x78,0x11,0x00,0x00,0x00,0x00,0x00,0x00,0x00,0x00,0x00,0x00];[0x02,0x05,0x00,0x64,0x00,0x00,0x11,0x00,0x5F,0x00,0x55,0x0A,0x00,0x55,0x00,0x52,0x01];[0x02,0x05,0x00,0x0A,0x00,0x1E,0x11,0x00,0x1E,0x00,0x23,0x0B,0x00,0x00,0x00,0x00,0x00];[0x01,0x05,0x00,0x69,0x00,0x00,0x11,0x00,0x00,0x00,0x00,0x00,0x00,0x00,0x00,0x00,0x00];[0x01,0x05,0x00,0x69,0x00,0x00,0x11,0x00,0x00,0x00,0x00,0x00,0x00,0x00,0x00,0x00,0x00];[0x03,0x03,0x00,0xC8,0x00,0xC8,0x00,0x00,0x8C,0x00,0x00,0x11,0x00,0x87,0x00,0x82,0x0A];[0x01,0x03,0x00,0x64,0x00,0x00,0x11,0x00,0x00,0x00,0x00,0x00,0x00,0x00,0x00,0x00,0x00]]</v>
      </c>
      <c r="D55" s="93"/>
      <c r="E55" s="93"/>
      <c r="F55" s="93"/>
      <c r="G55" s="93"/>
      <c r="H55" s="93"/>
      <c r="I55" s="93"/>
      <c r="J55" s="93"/>
      <c r="K55" s="93"/>
      <c r="L55" s="93"/>
    </row>
    <row r="56" spans="1:40" x14ac:dyDescent="0.25">
      <c r="A56"/>
      <c r="B56"/>
      <c r="C56"/>
      <c r="D56"/>
      <c r="E56"/>
      <c r="F56"/>
      <c r="G56"/>
      <c r="H56"/>
      <c r="I56"/>
      <c r="J56"/>
      <c r="K56"/>
      <c r="L56"/>
      <c r="M56"/>
      <c r="N56"/>
      <c r="O56"/>
      <c r="P56"/>
      <c r="Q56"/>
      <c r="R56"/>
      <c r="S56"/>
    </row>
    <row r="57" spans="1:40" x14ac:dyDescent="0.25">
      <c r="A57"/>
      <c r="B57"/>
      <c r="C57"/>
      <c r="D57"/>
      <c r="E57"/>
      <c r="F57"/>
      <c r="G57"/>
      <c r="H57"/>
      <c r="I57"/>
      <c r="J57"/>
      <c r="K57"/>
      <c r="L57"/>
      <c r="M57"/>
      <c r="N57"/>
      <c r="O57"/>
      <c r="P57"/>
      <c r="Q57"/>
      <c r="R57"/>
      <c r="S57"/>
      <c r="AN57" s="10"/>
    </row>
    <row r="58" spans="1:40" x14ac:dyDescent="0.25">
      <c r="A58"/>
      <c r="B58"/>
      <c r="C58"/>
      <c r="D58"/>
      <c r="E58"/>
      <c r="F58"/>
      <c r="G58"/>
      <c r="H58"/>
      <c r="I58"/>
      <c r="J58"/>
      <c r="K58"/>
      <c r="L58"/>
      <c r="M58"/>
      <c r="N58"/>
      <c r="O58"/>
      <c r="P58"/>
      <c r="Q58"/>
      <c r="R58"/>
      <c r="S58"/>
    </row>
  </sheetData>
  <mergeCells count="20">
    <mergeCell ref="L1:L2"/>
    <mergeCell ref="A1:A2"/>
    <mergeCell ref="B1:B2"/>
    <mergeCell ref="C1:C2"/>
    <mergeCell ref="D1:D2"/>
    <mergeCell ref="E1:E2"/>
    <mergeCell ref="F1:F2"/>
    <mergeCell ref="G1:G2"/>
    <mergeCell ref="H1:H2"/>
    <mergeCell ref="I1:I2"/>
    <mergeCell ref="J1:J2"/>
    <mergeCell ref="K1:K2"/>
    <mergeCell ref="S1:S2"/>
    <mergeCell ref="V1:AL1"/>
    <mergeCell ref="M1:M2"/>
    <mergeCell ref="N1:N2"/>
    <mergeCell ref="O1:O2"/>
    <mergeCell ref="P1:P2"/>
    <mergeCell ref="Q1:Q2"/>
    <mergeCell ref="R1:R2"/>
  </mergeCells>
  <phoneticPr fontId="3" type="noConversion"/>
  <conditionalFormatting sqref="H3:H27 K3:K27 N3:N27">
    <cfRule type="cellIs" dxfId="24" priority="3" operator="greaterThan">
      <formula>16</formula>
    </cfRule>
    <cfRule type="cellIs" dxfId="23" priority="4" operator="greaterThan">
      <formula>8</formula>
    </cfRule>
    <cfRule type="cellIs" dxfId="22" priority="5" operator="greaterThan">
      <formula>0</formula>
    </cfRule>
  </conditionalFormatting>
  <conditionalFormatting sqref="D3:E27 H3:H27 K3:K27 N3:N27">
    <cfRule type="cellIs" dxfId="21" priority="2" operator="greaterThan">
      <formula>255</formula>
    </cfRule>
  </conditionalFormatting>
  <conditionalFormatting sqref="F3:G27 I3:J27 L3:M27">
    <cfRule type="cellIs" dxfId="20" priority="1" operator="greaterThan">
      <formula>65535</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986D-7434-4E0A-8C7D-B113C5435A5F}">
  <dimension ref="A1:AY57"/>
  <sheetViews>
    <sheetView topLeftCell="A28" workbookViewId="0">
      <pane xSplit="2" topLeftCell="C1" activePane="topRight" state="frozen"/>
      <selection activeCell="A23" sqref="A23"/>
      <selection pane="topRight" activeCell="E23" sqref="E23"/>
    </sheetView>
  </sheetViews>
  <sheetFormatPr defaultRowHeight="13.8" x14ac:dyDescent="0.25"/>
  <cols>
    <col min="1" max="1" width="6.33203125" bestFit="1" customWidth="1"/>
    <col min="2" max="2" width="7.6640625" bestFit="1" customWidth="1"/>
    <col min="3" max="3" width="15.77734375" customWidth="1"/>
    <col min="4" max="4" width="8" bestFit="1" customWidth="1"/>
    <col min="5" max="5" width="15.88671875" bestFit="1" customWidth="1"/>
    <col min="6" max="7" width="8" bestFit="1" customWidth="1"/>
    <col min="8" max="8" width="12.21875" bestFit="1" customWidth="1"/>
    <col min="9" max="10" width="8" bestFit="1" customWidth="1"/>
    <col min="11" max="11" width="12.21875" bestFit="1" customWidth="1"/>
    <col min="12" max="13" width="8" bestFit="1" customWidth="1"/>
    <col min="14" max="14" width="12.21875" bestFit="1" customWidth="1"/>
    <col min="15" max="15" width="10.88671875" bestFit="1" customWidth="1"/>
    <col min="16" max="21" width="4.6640625" bestFit="1" customWidth="1"/>
    <col min="22" max="31" width="4.77734375" bestFit="1" customWidth="1"/>
    <col min="32" max="38" width="5.77734375" bestFit="1" customWidth="1"/>
    <col min="39" max="39" width="8.88671875" customWidth="1"/>
    <col min="51" max="51" width="10" bestFit="1" customWidth="1"/>
  </cols>
  <sheetData>
    <row r="1" spans="1:38" ht="13.8" customHeight="1" x14ac:dyDescent="0.25">
      <c r="A1" s="87" t="str">
        <f>'2.BCMU-NVMC'!A1</f>
        <v>序号</v>
      </c>
      <c r="B1" s="85" t="str">
        <f>'2.BCMU-NVMC'!B1</f>
        <v>参数PID</v>
      </c>
      <c r="C1" s="85" t="str">
        <f>'2.BCMU-NVMC'!C1</f>
        <v>告警类别</v>
      </c>
      <c r="D1" s="85" t="str">
        <f>'2.BCMU-NVMC'!D1</f>
        <v>告警使能</v>
      </c>
      <c r="E1" s="83" t="str">
        <f>'2.BCMU-NVMC'!E1</f>
        <v>成熟/解除确认时间</v>
      </c>
      <c r="F1" s="79" t="str">
        <f>'2.BCMU-NVMC'!F1</f>
        <v>三级阈值</v>
      </c>
      <c r="G1" s="79" t="str">
        <f>'2.BCMU-NVMC'!G1</f>
        <v>解除阈值</v>
      </c>
      <c r="H1" s="81" t="str">
        <f>'2.BCMU-NVMC'!H1</f>
        <v>充/放内部等级</v>
      </c>
      <c r="I1" s="79" t="str">
        <f>'2.BCMU-NVMC'!I1</f>
        <v>二级阈值</v>
      </c>
      <c r="J1" s="79" t="str">
        <f>'2.BCMU-NVMC'!J1</f>
        <v>解除阈值</v>
      </c>
      <c r="K1" s="81" t="str">
        <f>'2.BCMU-NVMC'!K1</f>
        <v>充/放内部等级</v>
      </c>
      <c r="L1" s="79" t="str">
        <f>'2.BCMU-NVMC'!L1</f>
        <v>一级阈值</v>
      </c>
      <c r="M1" s="79" t="str">
        <f>'2.BCMU-NVMC'!M1</f>
        <v>解除阈值</v>
      </c>
      <c r="N1" s="81" t="str">
        <f>'2.BCMU-NVMC'!N1</f>
        <v>充/放内部等级</v>
      </c>
      <c r="O1" s="83" t="str">
        <f>'2.BCMU-NVMC'!O1</f>
        <v>精度&amp;单位</v>
      </c>
      <c r="P1" s="83" t="str">
        <f>'2.BCMU-NVMC'!P1</f>
        <v>备注</v>
      </c>
      <c r="Q1" s="85" t="str">
        <f>'2.BCMU-NVMC'!Q1</f>
        <v>一级</v>
      </c>
      <c r="R1" s="85" t="str">
        <f>'2.BCMU-NVMC'!R1</f>
        <v>二级</v>
      </c>
      <c r="S1" s="89" t="str">
        <f>'2.BCMU-NVMC'!S1</f>
        <v>三级</v>
      </c>
      <c r="T1" s="1" t="str">
        <f>'2.BCMU-NVMC'!T1</f>
        <v>串数</v>
      </c>
      <c r="U1" s="1" t="str">
        <f>'2.BCMU-NVMC'!U1</f>
        <v>包数</v>
      </c>
      <c r="V1" s="78" t="s">
        <v>17</v>
      </c>
      <c r="W1" s="78"/>
      <c r="X1" s="78"/>
      <c r="Y1" s="78"/>
      <c r="Z1" s="78"/>
      <c r="AA1" s="78"/>
      <c r="AB1" s="78"/>
      <c r="AC1" s="78"/>
      <c r="AD1" s="78"/>
      <c r="AE1" s="78"/>
      <c r="AF1" s="78"/>
      <c r="AG1" s="78"/>
      <c r="AH1" s="78"/>
      <c r="AI1" s="78"/>
      <c r="AJ1" s="78"/>
      <c r="AK1" s="78"/>
      <c r="AL1" s="78"/>
    </row>
    <row r="2" spans="1:38" x14ac:dyDescent="0.25">
      <c r="A2" s="88"/>
      <c r="B2" s="86"/>
      <c r="C2" s="86"/>
      <c r="D2" s="86"/>
      <c r="E2" s="84"/>
      <c r="F2" s="80"/>
      <c r="G2" s="80"/>
      <c r="H2" s="82"/>
      <c r="I2" s="80"/>
      <c r="J2" s="80"/>
      <c r="K2" s="82"/>
      <c r="L2" s="80"/>
      <c r="M2" s="80"/>
      <c r="N2" s="82"/>
      <c r="O2" s="84"/>
      <c r="P2" s="84"/>
      <c r="Q2" s="86"/>
      <c r="R2" s="86"/>
      <c r="S2" s="90"/>
      <c r="T2" s="1">
        <f>'2.BCMU-NVMC'!T2</f>
        <v>18</v>
      </c>
      <c r="U2" s="1">
        <f>'2.BCMU-NVMC'!U2</f>
        <v>1</v>
      </c>
      <c r="V2" s="56" t="s">
        <v>18</v>
      </c>
      <c r="W2" s="56" t="s">
        <v>19</v>
      </c>
      <c r="X2" s="56" t="s">
        <v>20</v>
      </c>
      <c r="Y2" s="56" t="s">
        <v>21</v>
      </c>
      <c r="Z2" s="56" t="s">
        <v>22</v>
      </c>
      <c r="AA2" s="56" t="s">
        <v>23</v>
      </c>
      <c r="AB2" s="56" t="s">
        <v>24</v>
      </c>
      <c r="AC2" s="56" t="s">
        <v>25</v>
      </c>
      <c r="AD2" s="56" t="s">
        <v>26</v>
      </c>
      <c r="AE2" s="56" t="s">
        <v>27</v>
      </c>
      <c r="AF2" s="56" t="s">
        <v>28</v>
      </c>
      <c r="AG2" s="56" t="s">
        <v>29</v>
      </c>
      <c r="AH2" s="56" t="s">
        <v>30</v>
      </c>
      <c r="AI2" s="56" t="s">
        <v>31</v>
      </c>
      <c r="AJ2" s="56" t="s">
        <v>32</v>
      </c>
      <c r="AK2" s="56" t="s">
        <v>33</v>
      </c>
      <c r="AL2" s="56" t="s">
        <v>34</v>
      </c>
    </row>
    <row r="3" spans="1:38" x14ac:dyDescent="0.25">
      <c r="A3" s="9">
        <f>'2.BCMU-NVMC'!A3</f>
        <v>1</v>
      </c>
      <c r="B3" s="4" t="str">
        <f>'2.BCMU-NVMC'!B3</f>
        <v>0xF001</v>
      </c>
      <c r="C3" s="61" t="str">
        <f>'2.BCMU-NVMC'!C3</f>
        <v>单体电压过高</v>
      </c>
      <c r="D3" s="57">
        <f>'2.BCMU-NVMC'!D3</f>
        <v>3</v>
      </c>
      <c r="E3" s="57">
        <f>'2.BCMU-NVMC'!E3</f>
        <v>2</v>
      </c>
      <c r="F3" s="57">
        <f>'2.BCMU-NVMC'!F3</f>
        <v>3550</v>
      </c>
      <c r="G3" s="57">
        <f>'2.BCMU-NVMC'!G3</f>
        <v>0</v>
      </c>
      <c r="H3" s="57">
        <f>'2.BCMU-NVMC'!H3</f>
        <v>17</v>
      </c>
      <c r="I3" s="57">
        <f>'2.BCMU-NVMC'!I3</f>
        <v>3500</v>
      </c>
      <c r="J3" s="57">
        <f>'2.BCMU-NVMC'!J3</f>
        <v>3455</v>
      </c>
      <c r="K3" s="57">
        <f>'2.BCMU-NVMC'!K3</f>
        <v>16</v>
      </c>
      <c r="L3" s="57">
        <f>'2.BCMU-NVMC'!L3</f>
        <v>3455</v>
      </c>
      <c r="M3" s="57">
        <f>'2.BCMU-NVMC'!M3</f>
        <v>3450</v>
      </c>
      <c r="N3" s="63">
        <f>'2.BCMU-NVMC'!N3</f>
        <v>16</v>
      </c>
      <c r="O3" s="65" t="str">
        <f>'2.BCMU-NVMC'!O3</f>
        <v>1mv</v>
      </c>
      <c r="P3" s="60" t="str">
        <f>'2.BCMU-NVMC'!P3</f>
        <v>≥</v>
      </c>
      <c r="Q3" s="60">
        <f>'2.BCMU-NVMC'!Q3</f>
        <v>1</v>
      </c>
      <c r="R3" s="60">
        <f>'2.BCMU-NVMC'!R3</f>
        <v>2</v>
      </c>
      <c r="S3" s="64">
        <f>'2.BCMU-NVMC'!S3</f>
        <v>3</v>
      </c>
      <c r="V3" s="56" t="str">
        <f t="shared" ref="V3:V27" si="0">DEC2HEX(D3,2)</f>
        <v>03</v>
      </c>
      <c r="W3" s="56" t="str">
        <f t="shared" ref="W3:W27" si="1">DEC2HEX(E3,2)</f>
        <v>02</v>
      </c>
      <c r="X3" s="56" t="str">
        <f t="shared" ref="X3:X27" si="2">DEC2HEX(F3/256,2)</f>
        <v>0D</v>
      </c>
      <c r="Y3" s="56" t="str">
        <f t="shared" ref="Y3:Y27" si="3">DEC2HEX(MOD(F3,256),2)</f>
        <v>DE</v>
      </c>
      <c r="Z3" s="56" t="str">
        <f t="shared" ref="Z3:Z27" si="4">DEC2HEX(G3/256,2)</f>
        <v>00</v>
      </c>
      <c r="AA3" s="56" t="str">
        <f t="shared" ref="AA3:AA27" si="5">DEC2HEX(MOD(G3,256),2)</f>
        <v>00</v>
      </c>
      <c r="AB3" s="56" t="str">
        <f t="shared" ref="AB3:AB27" si="6">DEC2HEX(H3,2)</f>
        <v>11</v>
      </c>
      <c r="AC3" s="56" t="str">
        <f t="shared" ref="AC3:AC27" si="7">DEC2HEX(I3/256,2)</f>
        <v>0D</v>
      </c>
      <c r="AD3" s="56" t="str">
        <f t="shared" ref="AD3:AD27" si="8">DEC2HEX(MOD(I3,256),2)</f>
        <v>AC</v>
      </c>
      <c r="AE3" s="56" t="str">
        <f t="shared" ref="AE3:AE27" si="9">DEC2HEX(J3/256,2)</f>
        <v>0D</v>
      </c>
      <c r="AF3" s="56" t="str">
        <f t="shared" ref="AF3:AF27" si="10">DEC2HEX(MOD(J3,256),2)</f>
        <v>7F</v>
      </c>
      <c r="AG3" s="56" t="str">
        <f t="shared" ref="AG3:AG27" si="11">DEC2HEX(K3,2)</f>
        <v>10</v>
      </c>
      <c r="AH3" s="56" t="str">
        <f t="shared" ref="AH3:AH27" si="12">DEC2HEX(L3/256,2)</f>
        <v>0D</v>
      </c>
      <c r="AI3" s="56" t="str">
        <f t="shared" ref="AI3:AI27" si="13">DEC2HEX(MOD(L3,256),2)</f>
        <v>7F</v>
      </c>
      <c r="AJ3" s="56" t="str">
        <f t="shared" ref="AJ3:AJ27" si="14">DEC2HEX(M3/256,2)</f>
        <v>0D</v>
      </c>
      <c r="AK3" s="56" t="str">
        <f t="shared" ref="AK3:AK27" si="15">DEC2HEX(MOD(M3,256),2)</f>
        <v>7A</v>
      </c>
      <c r="AL3" s="56" t="str">
        <f t="shared" ref="AL3:AL27" si="16">DEC2HEX(N3,2)</f>
        <v>10</v>
      </c>
    </row>
    <row r="4" spans="1:38" x14ac:dyDescent="0.25">
      <c r="A4" s="9">
        <f>'2.BCMU-NVMC'!A4</f>
        <v>2</v>
      </c>
      <c r="B4" s="5" t="str">
        <f>'2.BCMU-NVMC'!B4</f>
        <v>0xF002</v>
      </c>
      <c r="C4" s="61" t="str">
        <f>'2.BCMU-NVMC'!C4</f>
        <v>单体电压过低</v>
      </c>
      <c r="D4" s="57">
        <f>'2.BCMU-NVMC'!D4</f>
        <v>3</v>
      </c>
      <c r="E4" s="57">
        <f>'2.BCMU-NVMC'!E4</f>
        <v>2</v>
      </c>
      <c r="F4" s="57">
        <f>'2.BCMU-NVMC'!F4</f>
        <v>2850</v>
      </c>
      <c r="G4" s="57">
        <f>'2.BCMU-NVMC'!G4</f>
        <v>4500</v>
      </c>
      <c r="H4" s="57">
        <f>'2.BCMU-NVMC'!H4</f>
        <v>14</v>
      </c>
      <c r="I4" s="57">
        <f>'2.BCMU-NVMC'!I4</f>
        <v>2900</v>
      </c>
      <c r="J4" s="57">
        <f>'2.BCMU-NVMC'!J4</f>
        <v>2950</v>
      </c>
      <c r="K4" s="57">
        <f>'2.BCMU-NVMC'!K4</f>
        <v>9</v>
      </c>
      <c r="L4" s="57">
        <f>'2.BCMU-NVMC'!L4</f>
        <v>2950</v>
      </c>
      <c r="M4" s="57">
        <f>'2.BCMU-NVMC'!M4</f>
        <v>3000</v>
      </c>
      <c r="N4" s="63">
        <f>'2.BCMU-NVMC'!N4</f>
        <v>9</v>
      </c>
      <c r="O4" s="65" t="str">
        <f>'2.BCMU-NVMC'!O4</f>
        <v>1mv</v>
      </c>
      <c r="P4" s="60" t="str">
        <f>'2.BCMU-NVMC'!P4</f>
        <v>≤</v>
      </c>
      <c r="Q4" s="60">
        <f>'2.BCMU-NVMC'!Q4</f>
        <v>4</v>
      </c>
      <c r="R4" s="60">
        <f>'2.BCMU-NVMC'!R4</f>
        <v>5</v>
      </c>
      <c r="S4" s="64">
        <f>'2.BCMU-NVMC'!S4</f>
        <v>6</v>
      </c>
      <c r="T4" s="2"/>
      <c r="U4" s="2"/>
      <c r="V4" s="56" t="str">
        <f t="shared" si="0"/>
        <v>03</v>
      </c>
      <c r="W4" s="56" t="str">
        <f t="shared" si="1"/>
        <v>02</v>
      </c>
      <c r="X4" s="56" t="str">
        <f t="shared" si="2"/>
        <v>0B</v>
      </c>
      <c r="Y4" s="56" t="str">
        <f t="shared" si="3"/>
        <v>22</v>
      </c>
      <c r="Z4" s="56" t="str">
        <f t="shared" si="4"/>
        <v>11</v>
      </c>
      <c r="AA4" s="56" t="str">
        <f t="shared" si="5"/>
        <v>94</v>
      </c>
      <c r="AB4" s="56" t="str">
        <f t="shared" si="6"/>
        <v>0E</v>
      </c>
      <c r="AC4" s="56" t="str">
        <f t="shared" si="7"/>
        <v>0B</v>
      </c>
      <c r="AD4" s="56" t="str">
        <f t="shared" si="8"/>
        <v>54</v>
      </c>
      <c r="AE4" s="56" t="str">
        <f t="shared" si="9"/>
        <v>0B</v>
      </c>
      <c r="AF4" s="56" t="str">
        <f t="shared" si="10"/>
        <v>86</v>
      </c>
      <c r="AG4" s="56" t="str">
        <f t="shared" si="11"/>
        <v>09</v>
      </c>
      <c r="AH4" s="56" t="str">
        <f t="shared" si="12"/>
        <v>0B</v>
      </c>
      <c r="AI4" s="56" t="str">
        <f t="shared" si="13"/>
        <v>86</v>
      </c>
      <c r="AJ4" s="56" t="str">
        <f t="shared" si="14"/>
        <v>0B</v>
      </c>
      <c r="AK4" s="56" t="str">
        <f t="shared" si="15"/>
        <v>B8</v>
      </c>
      <c r="AL4" s="56" t="str">
        <f t="shared" si="16"/>
        <v>09</v>
      </c>
    </row>
    <row r="5" spans="1:38" x14ac:dyDescent="0.25">
      <c r="A5" s="9">
        <f>'2.BCMU-NVMC'!A5</f>
        <v>3</v>
      </c>
      <c r="B5" s="5" t="str">
        <f>'2.BCMU-NVMC'!B5</f>
        <v>0xF003</v>
      </c>
      <c r="C5" s="61" t="str">
        <f>'2.BCMU-NVMC'!C5</f>
        <v>单体压差过大</v>
      </c>
      <c r="D5" s="57">
        <f>'2.BCMU-NVMC'!D5</f>
        <v>3</v>
      </c>
      <c r="E5" s="57">
        <f>'2.BCMU-NVMC'!E5</f>
        <v>5</v>
      </c>
      <c r="F5" s="57">
        <f>'2.BCMU-NVMC'!F5</f>
        <v>250</v>
      </c>
      <c r="G5" s="57">
        <f>'2.BCMU-NVMC'!G5</f>
        <v>0</v>
      </c>
      <c r="H5" s="58">
        <f>'2.BCMU-NVMC'!H5</f>
        <v>17</v>
      </c>
      <c r="I5" s="57">
        <f>'2.BCMU-NVMC'!I5</f>
        <v>200</v>
      </c>
      <c r="J5" s="57">
        <f>'2.BCMU-NVMC'!J5</f>
        <v>195</v>
      </c>
      <c r="K5" s="57">
        <f>'2.BCMU-NVMC'!K5</f>
        <v>11</v>
      </c>
      <c r="L5" s="57">
        <f>'2.BCMU-NVMC'!L5</f>
        <v>150</v>
      </c>
      <c r="M5" s="57">
        <f>'2.BCMU-NVMC'!M5</f>
        <v>145</v>
      </c>
      <c r="N5" s="63">
        <f>'2.BCMU-NVMC'!N5</f>
        <v>1</v>
      </c>
      <c r="O5" s="65" t="str">
        <f>'2.BCMU-NVMC'!O5</f>
        <v>1mv</v>
      </c>
      <c r="P5" s="60" t="str">
        <f>'2.BCMU-NVMC'!P5</f>
        <v>≥</v>
      </c>
      <c r="Q5" s="60">
        <f>'2.BCMU-NVMC'!Q5</f>
        <v>7</v>
      </c>
      <c r="R5" s="60">
        <f>'2.BCMU-NVMC'!R5</f>
        <v>8</v>
      </c>
      <c r="S5" s="64">
        <f>'2.BCMU-NVMC'!S5</f>
        <v>9</v>
      </c>
      <c r="T5" s="2"/>
      <c r="U5" s="2"/>
      <c r="V5" s="56" t="str">
        <f t="shared" si="0"/>
        <v>03</v>
      </c>
      <c r="W5" s="56" t="str">
        <f t="shared" si="1"/>
        <v>05</v>
      </c>
      <c r="X5" s="56" t="str">
        <f t="shared" si="2"/>
        <v>00</v>
      </c>
      <c r="Y5" s="56" t="str">
        <f t="shared" si="3"/>
        <v>FA</v>
      </c>
      <c r="Z5" s="56" t="str">
        <f t="shared" si="4"/>
        <v>00</v>
      </c>
      <c r="AA5" s="56" t="str">
        <f t="shared" si="5"/>
        <v>00</v>
      </c>
      <c r="AB5" s="56" t="str">
        <f t="shared" si="6"/>
        <v>11</v>
      </c>
      <c r="AC5" s="56" t="str">
        <f t="shared" si="7"/>
        <v>00</v>
      </c>
      <c r="AD5" s="56" t="str">
        <f t="shared" si="8"/>
        <v>C8</v>
      </c>
      <c r="AE5" s="56" t="str">
        <f t="shared" si="9"/>
        <v>00</v>
      </c>
      <c r="AF5" s="56" t="str">
        <f t="shared" si="10"/>
        <v>C3</v>
      </c>
      <c r="AG5" s="56" t="str">
        <f t="shared" si="11"/>
        <v>0B</v>
      </c>
      <c r="AH5" s="56" t="str">
        <f t="shared" si="12"/>
        <v>00</v>
      </c>
      <c r="AI5" s="56" t="str">
        <f t="shared" si="13"/>
        <v>96</v>
      </c>
      <c r="AJ5" s="56" t="str">
        <f t="shared" si="14"/>
        <v>00</v>
      </c>
      <c r="AK5" s="56" t="str">
        <f t="shared" si="15"/>
        <v>91</v>
      </c>
      <c r="AL5" s="56" t="str">
        <f t="shared" si="16"/>
        <v>01</v>
      </c>
    </row>
    <row r="6" spans="1:38" x14ac:dyDescent="0.25">
      <c r="A6" s="9">
        <f>'2.BCMU-NVMC'!A15</f>
        <v>13</v>
      </c>
      <c r="B6" s="5" t="str">
        <f>'2.BCMU-NVMC'!B15</f>
        <v>0xF006</v>
      </c>
      <c r="C6" s="61" t="str">
        <f>'2.BCMU-NVMC'!C15</f>
        <v>放电温度高</v>
      </c>
      <c r="D6" s="57">
        <f>'2.BCMU-NVMC'!D15</f>
        <v>3</v>
      </c>
      <c r="E6" s="57">
        <f>'2.BCMU-NVMC'!E15</f>
        <v>5</v>
      </c>
      <c r="F6" s="57">
        <f>'2.BCMU-NVMC'!F15</f>
        <v>100</v>
      </c>
      <c r="G6" s="57">
        <f>'2.BCMU-NVMC'!G15</f>
        <v>0</v>
      </c>
      <c r="H6" s="57">
        <f>'2.BCMU-NVMC'!H15</f>
        <v>17</v>
      </c>
      <c r="I6" s="57">
        <f>'2.BCMU-NVMC'!I15</f>
        <v>95</v>
      </c>
      <c r="J6" s="57">
        <f>'2.BCMU-NVMC'!J15</f>
        <v>90</v>
      </c>
      <c r="K6" s="57">
        <f>'2.BCMU-NVMC'!K15</f>
        <v>11</v>
      </c>
      <c r="L6" s="57">
        <f>'2.BCMU-NVMC'!L15</f>
        <v>90</v>
      </c>
      <c r="M6" s="57">
        <f>'2.BCMU-NVMC'!M15</f>
        <v>85</v>
      </c>
      <c r="N6" s="63">
        <f>'2.BCMU-NVMC'!N15</f>
        <v>1</v>
      </c>
      <c r="O6" s="65" t="str">
        <f>'2.BCMU-NVMC'!O15</f>
        <v>1℃(-40)</v>
      </c>
      <c r="P6" s="60" t="str">
        <f>'2.BCMU-NVMC'!P15</f>
        <v>≥</v>
      </c>
      <c r="Q6" s="60">
        <f>'2.BCMU-NVMC'!Q15</f>
        <v>37</v>
      </c>
      <c r="R6" s="60">
        <f>'2.BCMU-NVMC'!R15</f>
        <v>38</v>
      </c>
      <c r="S6" s="64">
        <f>'2.BCMU-NVMC'!S15</f>
        <v>39</v>
      </c>
      <c r="T6" s="2"/>
      <c r="U6" s="2"/>
      <c r="V6" s="56" t="str">
        <f t="shared" si="0"/>
        <v>03</v>
      </c>
      <c r="W6" s="56" t="str">
        <f t="shared" si="1"/>
        <v>05</v>
      </c>
      <c r="X6" s="56" t="str">
        <f t="shared" si="2"/>
        <v>00</v>
      </c>
      <c r="Y6" s="56" t="str">
        <f t="shared" si="3"/>
        <v>64</v>
      </c>
      <c r="Z6" s="56" t="str">
        <f t="shared" si="4"/>
        <v>00</v>
      </c>
      <c r="AA6" s="56" t="str">
        <f t="shared" si="5"/>
        <v>00</v>
      </c>
      <c r="AB6" s="56" t="str">
        <f t="shared" si="6"/>
        <v>11</v>
      </c>
      <c r="AC6" s="56" t="str">
        <f t="shared" si="7"/>
        <v>00</v>
      </c>
      <c r="AD6" s="56" t="str">
        <f t="shared" si="8"/>
        <v>5F</v>
      </c>
      <c r="AE6" s="56" t="str">
        <f t="shared" si="9"/>
        <v>00</v>
      </c>
      <c r="AF6" s="56" t="str">
        <f t="shared" si="10"/>
        <v>5A</v>
      </c>
      <c r="AG6" s="56" t="str">
        <f t="shared" si="11"/>
        <v>0B</v>
      </c>
      <c r="AH6" s="56" t="str">
        <f t="shared" si="12"/>
        <v>00</v>
      </c>
      <c r="AI6" s="56" t="str">
        <f t="shared" si="13"/>
        <v>5A</v>
      </c>
      <c r="AJ6" s="56" t="str">
        <f t="shared" si="14"/>
        <v>00</v>
      </c>
      <c r="AK6" s="56" t="str">
        <f t="shared" si="15"/>
        <v>55</v>
      </c>
      <c r="AL6" s="56" t="str">
        <f t="shared" si="16"/>
        <v>01</v>
      </c>
    </row>
    <row r="7" spans="1:38" x14ac:dyDescent="0.25">
      <c r="A7" s="9">
        <f>'2.BCMU-NVMC'!A16</f>
        <v>14</v>
      </c>
      <c r="B7" s="5" t="str">
        <f>'2.BCMU-NVMC'!B16</f>
        <v>0xF007</v>
      </c>
      <c r="C7" s="61" t="str">
        <f>'2.BCMU-NVMC'!C16</f>
        <v>放电温度低</v>
      </c>
      <c r="D7" s="57">
        <f>'2.BCMU-NVMC'!D16</f>
        <v>3</v>
      </c>
      <c r="E7" s="57">
        <f>'2.BCMU-NVMC'!E16</f>
        <v>5</v>
      </c>
      <c r="F7" s="57">
        <f>'2.BCMU-NVMC'!F16</f>
        <v>10</v>
      </c>
      <c r="G7" s="57">
        <f>'2.BCMU-NVMC'!G16</f>
        <v>100</v>
      </c>
      <c r="H7" s="57">
        <f>'2.BCMU-NVMC'!H16</f>
        <v>17</v>
      </c>
      <c r="I7" s="57">
        <f>'2.BCMU-NVMC'!I16</f>
        <v>28</v>
      </c>
      <c r="J7" s="57">
        <f>'2.BCMU-NVMC'!J16</f>
        <v>30</v>
      </c>
      <c r="K7" s="57">
        <f>'2.BCMU-NVMC'!K16</f>
        <v>11</v>
      </c>
      <c r="L7" s="57">
        <f>'2.BCMU-NVMC'!L16</f>
        <v>30</v>
      </c>
      <c r="M7" s="57">
        <f>'2.BCMU-NVMC'!M16</f>
        <v>32</v>
      </c>
      <c r="N7" s="63">
        <f>'2.BCMU-NVMC'!N16</f>
        <v>9</v>
      </c>
      <c r="O7" s="65" t="str">
        <f>'2.BCMU-NVMC'!O16</f>
        <v>1℃(-40)</v>
      </c>
      <c r="P7" s="60" t="str">
        <f>'2.BCMU-NVMC'!P16</f>
        <v>≤</v>
      </c>
      <c r="Q7" s="60">
        <f>'2.BCMU-NVMC'!Q16</f>
        <v>40</v>
      </c>
      <c r="R7" s="60">
        <f>'2.BCMU-NVMC'!R16</f>
        <v>41</v>
      </c>
      <c r="S7" s="64">
        <f>'2.BCMU-NVMC'!S16</f>
        <v>42</v>
      </c>
      <c r="T7" s="2"/>
      <c r="U7" s="2"/>
      <c r="V7" s="56" t="str">
        <f t="shared" si="0"/>
        <v>03</v>
      </c>
      <c r="W7" s="56" t="str">
        <f t="shared" si="1"/>
        <v>05</v>
      </c>
      <c r="X7" s="56" t="str">
        <f t="shared" si="2"/>
        <v>00</v>
      </c>
      <c r="Y7" s="56" t="str">
        <f t="shared" si="3"/>
        <v>0A</v>
      </c>
      <c r="Z7" s="56" t="str">
        <f t="shared" si="4"/>
        <v>00</v>
      </c>
      <c r="AA7" s="56" t="str">
        <f t="shared" si="5"/>
        <v>64</v>
      </c>
      <c r="AB7" s="56" t="str">
        <f t="shared" si="6"/>
        <v>11</v>
      </c>
      <c r="AC7" s="56" t="str">
        <f t="shared" si="7"/>
        <v>00</v>
      </c>
      <c r="AD7" s="56" t="str">
        <f t="shared" si="8"/>
        <v>1C</v>
      </c>
      <c r="AE7" s="56" t="str">
        <f t="shared" si="9"/>
        <v>00</v>
      </c>
      <c r="AF7" s="56" t="str">
        <f t="shared" si="10"/>
        <v>1E</v>
      </c>
      <c r="AG7" s="56" t="str">
        <f t="shared" si="11"/>
        <v>0B</v>
      </c>
      <c r="AH7" s="56" t="str">
        <f t="shared" si="12"/>
        <v>00</v>
      </c>
      <c r="AI7" s="56" t="str">
        <f t="shared" si="13"/>
        <v>1E</v>
      </c>
      <c r="AJ7" s="56" t="str">
        <f t="shared" si="14"/>
        <v>00</v>
      </c>
      <c r="AK7" s="56" t="str">
        <f t="shared" si="15"/>
        <v>20</v>
      </c>
      <c r="AL7" s="56" t="str">
        <f t="shared" si="16"/>
        <v>09</v>
      </c>
    </row>
    <row r="8" spans="1:38" x14ac:dyDescent="0.25">
      <c r="A8" s="9">
        <f>'2.BCMU-NVMC'!A17</f>
        <v>15</v>
      </c>
      <c r="B8" s="5" t="str">
        <f>'2.BCMU-NVMC'!B17</f>
        <v>0xF008</v>
      </c>
      <c r="C8" s="61" t="str">
        <f>'2.BCMU-NVMC'!C17</f>
        <v>温差过大</v>
      </c>
      <c r="D8" s="57">
        <f>'2.BCMU-NVMC'!D17</f>
        <v>3</v>
      </c>
      <c r="E8" s="57">
        <f>'2.BCMU-NVMC'!E17</f>
        <v>10</v>
      </c>
      <c r="F8" s="57">
        <f>'2.BCMU-NVMC'!F17</f>
        <v>55</v>
      </c>
      <c r="G8" s="57">
        <f>'2.BCMU-NVMC'!G17</f>
        <v>0</v>
      </c>
      <c r="H8" s="57">
        <f>'2.BCMU-NVMC'!H17</f>
        <v>17</v>
      </c>
      <c r="I8" s="57">
        <f>'2.BCMU-NVMC'!I17</f>
        <v>50</v>
      </c>
      <c r="J8" s="57">
        <f>'2.BCMU-NVMC'!J17</f>
        <v>49</v>
      </c>
      <c r="K8" s="57">
        <f>'2.BCMU-NVMC'!K17</f>
        <v>1</v>
      </c>
      <c r="L8" s="57">
        <f>'2.BCMU-NVMC'!L17</f>
        <v>48</v>
      </c>
      <c r="M8" s="57">
        <f>'2.BCMU-NVMC'!M17</f>
        <v>47</v>
      </c>
      <c r="N8" s="63">
        <f>'2.BCMU-NVMC'!N17</f>
        <v>1</v>
      </c>
      <c r="O8" s="65" t="str">
        <f>'2.BCMU-NVMC'!O17</f>
        <v>1℃(-40)</v>
      </c>
      <c r="P8" s="60" t="str">
        <f>'2.BCMU-NVMC'!P17</f>
        <v>≥</v>
      </c>
      <c r="Q8" s="60">
        <f>'2.BCMU-NVMC'!Q17</f>
        <v>43</v>
      </c>
      <c r="R8" s="60">
        <f>'2.BCMU-NVMC'!R17</f>
        <v>44</v>
      </c>
      <c r="S8" s="64">
        <f>'2.BCMU-NVMC'!S17</f>
        <v>45</v>
      </c>
      <c r="T8" s="2"/>
      <c r="U8" s="2"/>
      <c r="V8" s="56" t="str">
        <f t="shared" si="0"/>
        <v>03</v>
      </c>
      <c r="W8" s="56" t="str">
        <f t="shared" si="1"/>
        <v>0A</v>
      </c>
      <c r="X8" s="56" t="str">
        <f t="shared" si="2"/>
        <v>00</v>
      </c>
      <c r="Y8" s="56" t="str">
        <f t="shared" si="3"/>
        <v>37</v>
      </c>
      <c r="Z8" s="56" t="str">
        <f t="shared" si="4"/>
        <v>00</v>
      </c>
      <c r="AA8" s="56" t="str">
        <f t="shared" si="5"/>
        <v>00</v>
      </c>
      <c r="AB8" s="56" t="str">
        <f t="shared" si="6"/>
        <v>11</v>
      </c>
      <c r="AC8" s="56" t="str">
        <f t="shared" si="7"/>
        <v>00</v>
      </c>
      <c r="AD8" s="56" t="str">
        <f t="shared" si="8"/>
        <v>32</v>
      </c>
      <c r="AE8" s="56" t="str">
        <f t="shared" si="9"/>
        <v>00</v>
      </c>
      <c r="AF8" s="56" t="str">
        <f t="shared" si="10"/>
        <v>31</v>
      </c>
      <c r="AG8" s="56" t="str">
        <f t="shared" si="11"/>
        <v>01</v>
      </c>
      <c r="AH8" s="56" t="str">
        <f t="shared" si="12"/>
        <v>00</v>
      </c>
      <c r="AI8" s="56" t="str">
        <f t="shared" si="13"/>
        <v>30</v>
      </c>
      <c r="AJ8" s="56" t="str">
        <f t="shared" si="14"/>
        <v>00</v>
      </c>
      <c r="AK8" s="56" t="str">
        <f t="shared" si="15"/>
        <v>2F</v>
      </c>
      <c r="AL8" s="56" t="str">
        <f t="shared" si="16"/>
        <v>01</v>
      </c>
    </row>
    <row r="9" spans="1:38" x14ac:dyDescent="0.25">
      <c r="A9" s="11">
        <f>'2.BCMU-NVMC'!A8</f>
        <v>6</v>
      </c>
      <c r="B9" s="5" t="str">
        <f>'2.BCMU-NVMC'!B8</f>
        <v>0xF00B</v>
      </c>
      <c r="C9" s="62" t="str">
        <f>'2.BCMU-NVMC'!C8</f>
        <v>簇总压过高</v>
      </c>
      <c r="D9" s="57">
        <f>'2.BCMU-NVMC'!D8</f>
        <v>3</v>
      </c>
      <c r="E9" s="57">
        <f>'2.BCMU-NVMC'!E8</f>
        <v>2</v>
      </c>
      <c r="F9" s="57">
        <f>'2.BCMU-NVMC'!F8</f>
        <v>639</v>
      </c>
      <c r="G9" s="57">
        <f>'2.BCMU-NVMC'!G8</f>
        <v>0</v>
      </c>
      <c r="H9" s="57">
        <f>'2.BCMU-NVMC'!H8</f>
        <v>17</v>
      </c>
      <c r="I9" s="57">
        <f>'2.BCMU-NVMC'!I8</f>
        <v>630</v>
      </c>
      <c r="J9" s="57">
        <f>'2.BCMU-NVMC'!J8</f>
        <v>621.9</v>
      </c>
      <c r="K9" s="57">
        <f>'2.BCMU-NVMC'!K8</f>
        <v>16</v>
      </c>
      <c r="L9" s="57">
        <f>'2.BCMU-NVMC'!L8</f>
        <v>621.9</v>
      </c>
      <c r="M9" s="57">
        <f>'2.BCMU-NVMC'!M8</f>
        <v>621</v>
      </c>
      <c r="N9" s="63">
        <f>'2.BCMU-NVMC'!N8</f>
        <v>16</v>
      </c>
      <c r="O9" s="65" t="str">
        <f>'2.BCMU-NVMC'!O8</f>
        <v>0.1V</v>
      </c>
      <c r="P9" s="60" t="str">
        <f>'2.BCMU-NVMC'!P8</f>
        <v>≥</v>
      </c>
      <c r="Q9" s="60">
        <f>'2.BCMU-NVMC'!Q8</f>
        <v>16</v>
      </c>
      <c r="R9" s="60">
        <f>'2.BCMU-NVMC'!R8</f>
        <v>17</v>
      </c>
      <c r="S9" s="64">
        <f>'2.BCMU-NVMC'!S8</f>
        <v>18</v>
      </c>
      <c r="T9" s="2"/>
      <c r="U9" s="2"/>
      <c r="V9" s="56" t="str">
        <f t="shared" si="0"/>
        <v>03</v>
      </c>
      <c r="W9" s="56" t="str">
        <f t="shared" si="1"/>
        <v>02</v>
      </c>
      <c r="X9" s="56" t="str">
        <f t="shared" si="2"/>
        <v>02</v>
      </c>
      <c r="Y9" s="56" t="str">
        <f t="shared" si="3"/>
        <v>7F</v>
      </c>
      <c r="Z9" s="56" t="str">
        <f t="shared" si="4"/>
        <v>00</v>
      </c>
      <c r="AA9" s="56" t="str">
        <f t="shared" si="5"/>
        <v>00</v>
      </c>
      <c r="AB9" s="56" t="str">
        <f t="shared" si="6"/>
        <v>11</v>
      </c>
      <c r="AC9" s="56" t="str">
        <f t="shared" si="7"/>
        <v>02</v>
      </c>
      <c r="AD9" s="56" t="str">
        <f t="shared" si="8"/>
        <v>76</v>
      </c>
      <c r="AE9" s="56" t="str">
        <f t="shared" si="9"/>
        <v>02</v>
      </c>
      <c r="AF9" s="56" t="str">
        <f t="shared" si="10"/>
        <v>6D</v>
      </c>
      <c r="AG9" s="56" t="str">
        <f t="shared" si="11"/>
        <v>10</v>
      </c>
      <c r="AH9" s="56" t="str">
        <f t="shared" si="12"/>
        <v>02</v>
      </c>
      <c r="AI9" s="56" t="str">
        <f t="shared" si="13"/>
        <v>6D</v>
      </c>
      <c r="AJ9" s="56" t="str">
        <f t="shared" si="14"/>
        <v>02</v>
      </c>
      <c r="AK9" s="56" t="str">
        <f t="shared" si="15"/>
        <v>6D</v>
      </c>
      <c r="AL9" s="56" t="str">
        <f t="shared" si="16"/>
        <v>10</v>
      </c>
    </row>
    <row r="10" spans="1:38" x14ac:dyDescent="0.25">
      <c r="A10" s="11">
        <f>'2.BCMU-NVMC'!A9</f>
        <v>7</v>
      </c>
      <c r="B10" s="5" t="str">
        <f>'2.BCMU-NVMC'!B9</f>
        <v>0xF00C</v>
      </c>
      <c r="C10" s="62" t="str">
        <f>'2.BCMU-NVMC'!C9</f>
        <v>簇总压过低</v>
      </c>
      <c r="D10" s="57">
        <f>'2.BCMU-NVMC'!D9</f>
        <v>3</v>
      </c>
      <c r="E10" s="57">
        <f>'2.BCMU-NVMC'!E9</f>
        <v>2</v>
      </c>
      <c r="F10" s="57">
        <f>'2.BCMU-NVMC'!F9</f>
        <v>513</v>
      </c>
      <c r="G10" s="57">
        <f>'2.BCMU-NVMC'!G9</f>
        <v>810</v>
      </c>
      <c r="H10" s="57">
        <f>'2.BCMU-NVMC'!H9</f>
        <v>14</v>
      </c>
      <c r="I10" s="57">
        <f>'2.BCMU-NVMC'!I9</f>
        <v>522</v>
      </c>
      <c r="J10" s="57">
        <f>'2.BCMU-NVMC'!J9</f>
        <v>531</v>
      </c>
      <c r="K10" s="57">
        <f>'2.BCMU-NVMC'!K9</f>
        <v>14</v>
      </c>
      <c r="L10" s="57">
        <f>'2.BCMU-NVMC'!L9</f>
        <v>531</v>
      </c>
      <c r="M10" s="57">
        <f>'2.BCMU-NVMC'!M9</f>
        <v>540</v>
      </c>
      <c r="N10" s="63">
        <f>'2.BCMU-NVMC'!N9</f>
        <v>9</v>
      </c>
      <c r="O10" s="65" t="str">
        <f>'2.BCMU-NVMC'!O9</f>
        <v>0.1V</v>
      </c>
      <c r="P10" s="60" t="str">
        <f>'2.BCMU-NVMC'!P9</f>
        <v>≤</v>
      </c>
      <c r="Q10" s="60">
        <f>'2.BCMU-NVMC'!Q9</f>
        <v>19</v>
      </c>
      <c r="R10" s="60">
        <f>'2.BCMU-NVMC'!R9</f>
        <v>20</v>
      </c>
      <c r="S10" s="64">
        <f>'2.BCMU-NVMC'!S9</f>
        <v>21</v>
      </c>
      <c r="T10" s="2"/>
      <c r="U10" s="2"/>
      <c r="V10" s="56" t="str">
        <f t="shared" si="0"/>
        <v>03</v>
      </c>
      <c r="W10" s="56" t="str">
        <f t="shared" si="1"/>
        <v>02</v>
      </c>
      <c r="X10" s="56" t="str">
        <f t="shared" si="2"/>
        <v>02</v>
      </c>
      <c r="Y10" s="56" t="str">
        <f t="shared" si="3"/>
        <v>01</v>
      </c>
      <c r="Z10" s="56" t="str">
        <f t="shared" si="4"/>
        <v>03</v>
      </c>
      <c r="AA10" s="56" t="str">
        <f t="shared" si="5"/>
        <v>2A</v>
      </c>
      <c r="AB10" s="56" t="str">
        <f t="shared" si="6"/>
        <v>0E</v>
      </c>
      <c r="AC10" s="56" t="str">
        <f t="shared" si="7"/>
        <v>02</v>
      </c>
      <c r="AD10" s="56" t="str">
        <f t="shared" si="8"/>
        <v>0A</v>
      </c>
      <c r="AE10" s="56" t="str">
        <f t="shared" si="9"/>
        <v>02</v>
      </c>
      <c r="AF10" s="56" t="str">
        <f t="shared" si="10"/>
        <v>13</v>
      </c>
      <c r="AG10" s="56" t="str">
        <f t="shared" si="11"/>
        <v>0E</v>
      </c>
      <c r="AH10" s="56" t="str">
        <f t="shared" si="12"/>
        <v>02</v>
      </c>
      <c r="AI10" s="56" t="str">
        <f t="shared" si="13"/>
        <v>13</v>
      </c>
      <c r="AJ10" s="56" t="str">
        <f t="shared" si="14"/>
        <v>02</v>
      </c>
      <c r="AK10" s="56" t="str">
        <f t="shared" si="15"/>
        <v>1C</v>
      </c>
      <c r="AL10" s="56" t="str">
        <f t="shared" si="16"/>
        <v>09</v>
      </c>
    </row>
    <row r="11" spans="1:38" x14ac:dyDescent="0.25">
      <c r="A11" s="9">
        <f>'2.BCMU-NVMC'!A10</f>
        <v>8</v>
      </c>
      <c r="B11" s="5" t="str">
        <f>'2.BCMU-NVMC'!B10</f>
        <v>0xF00E</v>
      </c>
      <c r="C11" s="61" t="str">
        <f>'2.BCMU-NVMC'!C10</f>
        <v>簇放电电流过大</v>
      </c>
      <c r="D11" s="57">
        <f>'2.BCMU-NVMC'!D10</f>
        <v>3</v>
      </c>
      <c r="E11" s="57">
        <f>'2.BCMU-NVMC'!E10</f>
        <v>5</v>
      </c>
      <c r="F11" s="57">
        <f>'2.BCMU-NVMC'!F10</f>
        <v>30150</v>
      </c>
      <c r="G11" s="57">
        <f>'2.BCMU-NVMC'!G10</f>
        <v>30000</v>
      </c>
      <c r="H11" s="57">
        <f>'2.BCMU-NVMC'!H10</f>
        <v>17</v>
      </c>
      <c r="I11" s="57">
        <f>'2.BCMU-NVMC'!I10</f>
        <v>30100</v>
      </c>
      <c r="J11" s="57">
        <f>'2.BCMU-NVMC'!J10</f>
        <v>30000</v>
      </c>
      <c r="K11" s="57">
        <f>'2.BCMU-NVMC'!K10</f>
        <v>9</v>
      </c>
      <c r="L11" s="57">
        <f>'2.BCMU-NVMC'!L10</f>
        <v>30050</v>
      </c>
      <c r="M11" s="57">
        <f>'2.BCMU-NVMC'!M10</f>
        <v>30000</v>
      </c>
      <c r="N11" s="63">
        <f>'2.BCMU-NVMC'!N10</f>
        <v>1</v>
      </c>
      <c r="O11" s="66" t="str">
        <f>'2.BCMU-NVMC'!O10</f>
        <v>0.1A(-30000)</v>
      </c>
      <c r="P11" s="60" t="str">
        <f>'2.BCMU-NVMC'!P10</f>
        <v>&gt; </v>
      </c>
      <c r="Q11" s="60">
        <f>'2.BCMU-NVMC'!Q10</f>
        <v>22</v>
      </c>
      <c r="R11" s="60">
        <f>'2.BCMU-NVMC'!R10</f>
        <v>23</v>
      </c>
      <c r="S11" s="64">
        <f>'2.BCMU-NVMC'!S10</f>
        <v>24</v>
      </c>
      <c r="T11" s="2"/>
      <c r="U11" s="2"/>
      <c r="V11" s="56" t="str">
        <f t="shared" si="0"/>
        <v>03</v>
      </c>
      <c r="W11" s="56" t="str">
        <f t="shared" si="1"/>
        <v>05</v>
      </c>
      <c r="X11" s="56" t="str">
        <f t="shared" si="2"/>
        <v>75</v>
      </c>
      <c r="Y11" s="56" t="str">
        <f t="shared" si="3"/>
        <v>C6</v>
      </c>
      <c r="Z11" s="56" t="str">
        <f t="shared" si="4"/>
        <v>75</v>
      </c>
      <c r="AA11" s="56" t="str">
        <f t="shared" si="5"/>
        <v>30</v>
      </c>
      <c r="AB11" s="56" t="str">
        <f t="shared" si="6"/>
        <v>11</v>
      </c>
      <c r="AC11" s="56" t="str">
        <f t="shared" si="7"/>
        <v>75</v>
      </c>
      <c r="AD11" s="56" t="str">
        <f t="shared" si="8"/>
        <v>94</v>
      </c>
      <c r="AE11" s="56" t="str">
        <f t="shared" si="9"/>
        <v>75</v>
      </c>
      <c r="AF11" s="56" t="str">
        <f t="shared" si="10"/>
        <v>30</v>
      </c>
      <c r="AG11" s="56" t="str">
        <f t="shared" si="11"/>
        <v>09</v>
      </c>
      <c r="AH11" s="56" t="str">
        <f t="shared" si="12"/>
        <v>75</v>
      </c>
      <c r="AI11" s="56" t="str">
        <f t="shared" si="13"/>
        <v>62</v>
      </c>
      <c r="AJ11" s="56" t="str">
        <f t="shared" si="14"/>
        <v>75</v>
      </c>
      <c r="AK11" s="56" t="str">
        <f t="shared" si="15"/>
        <v>30</v>
      </c>
      <c r="AL11" s="56" t="str">
        <f t="shared" si="16"/>
        <v>01</v>
      </c>
    </row>
    <row r="12" spans="1:38" x14ac:dyDescent="0.25">
      <c r="A12" s="9">
        <f>'2.BCMU-NVMC'!A11</f>
        <v>9</v>
      </c>
      <c r="B12" s="5" t="str">
        <f>'2.BCMU-NVMC'!B11</f>
        <v>0xF00F</v>
      </c>
      <c r="C12" s="61" t="str">
        <f>'2.BCMU-NVMC'!C11</f>
        <v>簇充电电流过大</v>
      </c>
      <c r="D12" s="57">
        <f>'2.BCMU-NVMC'!D11</f>
        <v>3</v>
      </c>
      <c r="E12" s="57">
        <f>'2.BCMU-NVMC'!E11</f>
        <v>5</v>
      </c>
      <c r="F12" s="57">
        <f>'2.BCMU-NVMC'!F11</f>
        <v>30150</v>
      </c>
      <c r="G12" s="57">
        <f>'2.BCMU-NVMC'!G11</f>
        <v>30000</v>
      </c>
      <c r="H12" s="57">
        <f>'2.BCMU-NVMC'!H11</f>
        <v>17</v>
      </c>
      <c r="I12" s="57">
        <f>'2.BCMU-NVMC'!I11</f>
        <v>30100</v>
      </c>
      <c r="J12" s="57">
        <f>'2.BCMU-NVMC'!J11</f>
        <v>30000</v>
      </c>
      <c r="K12" s="57">
        <f>'2.BCMU-NVMC'!K11</f>
        <v>10</v>
      </c>
      <c r="L12" s="57">
        <f>'2.BCMU-NVMC'!L11</f>
        <v>30050</v>
      </c>
      <c r="M12" s="57">
        <f>'2.BCMU-NVMC'!M11</f>
        <v>30000</v>
      </c>
      <c r="N12" s="63">
        <f>'2.BCMU-NVMC'!N11</f>
        <v>1</v>
      </c>
      <c r="O12" s="65" t="str">
        <f>'2.BCMU-NVMC'!O11</f>
        <v>0.1A(-30000)</v>
      </c>
      <c r="P12" s="60" t="str">
        <f>'2.BCMU-NVMC'!P11</f>
        <v>&gt; </v>
      </c>
      <c r="Q12" s="60">
        <f>'2.BCMU-NVMC'!Q11</f>
        <v>25</v>
      </c>
      <c r="R12" s="60">
        <f>'2.BCMU-NVMC'!R11</f>
        <v>26</v>
      </c>
      <c r="S12" s="64">
        <f>'2.BCMU-NVMC'!S11</f>
        <v>27</v>
      </c>
      <c r="T12" s="2"/>
      <c r="U12" s="2"/>
      <c r="V12" s="56" t="str">
        <f t="shared" si="0"/>
        <v>03</v>
      </c>
      <c r="W12" s="56" t="str">
        <f t="shared" si="1"/>
        <v>05</v>
      </c>
      <c r="X12" s="56" t="str">
        <f t="shared" si="2"/>
        <v>75</v>
      </c>
      <c r="Y12" s="56" t="str">
        <f t="shared" si="3"/>
        <v>C6</v>
      </c>
      <c r="Z12" s="56" t="str">
        <f t="shared" si="4"/>
        <v>75</v>
      </c>
      <c r="AA12" s="56" t="str">
        <f t="shared" si="5"/>
        <v>30</v>
      </c>
      <c r="AB12" s="56" t="str">
        <f t="shared" si="6"/>
        <v>11</v>
      </c>
      <c r="AC12" s="56" t="str">
        <f t="shared" si="7"/>
        <v>75</v>
      </c>
      <c r="AD12" s="56" t="str">
        <f t="shared" si="8"/>
        <v>94</v>
      </c>
      <c r="AE12" s="56" t="str">
        <f t="shared" si="9"/>
        <v>75</v>
      </c>
      <c r="AF12" s="56" t="str">
        <f t="shared" si="10"/>
        <v>30</v>
      </c>
      <c r="AG12" s="56" t="str">
        <f t="shared" si="11"/>
        <v>0A</v>
      </c>
      <c r="AH12" s="56" t="str">
        <f t="shared" si="12"/>
        <v>75</v>
      </c>
      <c r="AI12" s="56" t="str">
        <f t="shared" si="13"/>
        <v>62</v>
      </c>
      <c r="AJ12" s="56" t="str">
        <f t="shared" si="14"/>
        <v>75</v>
      </c>
      <c r="AK12" s="56" t="str">
        <f t="shared" si="15"/>
        <v>30</v>
      </c>
      <c r="AL12" s="56" t="str">
        <f t="shared" si="16"/>
        <v>01</v>
      </c>
    </row>
    <row r="13" spans="1:38" x14ac:dyDescent="0.25">
      <c r="A13" s="9">
        <f>'2.BCMU-NVMC'!A22</f>
        <v>20</v>
      </c>
      <c r="B13" s="5" t="str">
        <f>'2.BCMU-NVMC'!B22</f>
        <v>0xF010</v>
      </c>
      <c r="C13" s="61" t="str">
        <f>'2.BCMU-NVMC'!C22</f>
        <v>环境温度过高</v>
      </c>
      <c r="D13" s="57">
        <f>'2.BCMU-NVMC'!D22</f>
        <v>2</v>
      </c>
      <c r="E13" s="57">
        <f>'2.BCMU-NVMC'!E22</f>
        <v>5</v>
      </c>
      <c r="F13" s="57">
        <f>'2.BCMU-NVMC'!F22</f>
        <v>100</v>
      </c>
      <c r="G13" s="57">
        <f>'2.BCMU-NVMC'!G22</f>
        <v>0</v>
      </c>
      <c r="H13" s="57">
        <f>'2.BCMU-NVMC'!H22</f>
        <v>17</v>
      </c>
      <c r="I13" s="57">
        <f>'2.BCMU-NVMC'!I22</f>
        <v>95</v>
      </c>
      <c r="J13" s="57">
        <f>'2.BCMU-NVMC'!J22</f>
        <v>85</v>
      </c>
      <c r="K13" s="57">
        <f>'2.BCMU-NVMC'!K22</f>
        <v>10</v>
      </c>
      <c r="L13" s="57">
        <f>'2.BCMU-NVMC'!L22</f>
        <v>85</v>
      </c>
      <c r="M13" s="57">
        <f>'2.BCMU-NVMC'!M22</f>
        <v>82</v>
      </c>
      <c r="N13" s="63">
        <f>'2.BCMU-NVMC'!N22</f>
        <v>1</v>
      </c>
      <c r="O13" s="65" t="str">
        <f>'2.BCMU-NVMC'!O22</f>
        <v>1℃(-40)</v>
      </c>
      <c r="P13" s="60" t="str">
        <f>'2.BCMU-NVMC'!P22</f>
        <v>≥</v>
      </c>
      <c r="Q13" s="60">
        <f>'2.BCMU-NVMC'!Q22</f>
        <v>74</v>
      </c>
      <c r="R13" s="60">
        <f>'2.BCMU-NVMC'!R22</f>
        <v>75</v>
      </c>
      <c r="S13" s="64">
        <f>'2.BCMU-NVMC'!S22</f>
        <v>76</v>
      </c>
      <c r="T13" s="2"/>
      <c r="U13" s="2"/>
      <c r="V13" s="56" t="str">
        <f t="shared" si="0"/>
        <v>02</v>
      </c>
      <c r="W13" s="56" t="str">
        <f t="shared" si="1"/>
        <v>05</v>
      </c>
      <c r="X13" s="56" t="str">
        <f t="shared" si="2"/>
        <v>00</v>
      </c>
      <c r="Y13" s="56" t="str">
        <f t="shared" si="3"/>
        <v>64</v>
      </c>
      <c r="Z13" s="56" t="str">
        <f t="shared" si="4"/>
        <v>00</v>
      </c>
      <c r="AA13" s="56" t="str">
        <f t="shared" si="5"/>
        <v>00</v>
      </c>
      <c r="AB13" s="56" t="str">
        <f t="shared" si="6"/>
        <v>11</v>
      </c>
      <c r="AC13" s="56" t="str">
        <f t="shared" si="7"/>
        <v>00</v>
      </c>
      <c r="AD13" s="56" t="str">
        <f t="shared" si="8"/>
        <v>5F</v>
      </c>
      <c r="AE13" s="56" t="str">
        <f t="shared" si="9"/>
        <v>00</v>
      </c>
      <c r="AF13" s="56" t="str">
        <f t="shared" si="10"/>
        <v>55</v>
      </c>
      <c r="AG13" s="56" t="str">
        <f t="shared" si="11"/>
        <v>0A</v>
      </c>
      <c r="AH13" s="56" t="str">
        <f t="shared" si="12"/>
        <v>00</v>
      </c>
      <c r="AI13" s="56" t="str">
        <f t="shared" si="13"/>
        <v>55</v>
      </c>
      <c r="AJ13" s="56" t="str">
        <f t="shared" si="14"/>
        <v>00</v>
      </c>
      <c r="AK13" s="56" t="str">
        <f t="shared" si="15"/>
        <v>52</v>
      </c>
      <c r="AL13" s="56" t="str">
        <f t="shared" si="16"/>
        <v>01</v>
      </c>
    </row>
    <row r="14" spans="1:38" x14ac:dyDescent="0.25">
      <c r="A14" s="9">
        <f>'2.BCMU-NVMC'!A23</f>
        <v>21</v>
      </c>
      <c r="B14" s="5" t="str">
        <f>'2.BCMU-NVMC'!B23</f>
        <v>0xF011</v>
      </c>
      <c r="C14" s="61" t="str">
        <f>'2.BCMU-NVMC'!C23</f>
        <v>环境温度过低</v>
      </c>
      <c r="D14" s="57">
        <f>'2.BCMU-NVMC'!D23</f>
        <v>2</v>
      </c>
      <c r="E14" s="57">
        <f>'2.BCMU-NVMC'!E23</f>
        <v>5</v>
      </c>
      <c r="F14" s="57">
        <f>'2.BCMU-NVMC'!F23</f>
        <v>10</v>
      </c>
      <c r="G14" s="57">
        <f>'2.BCMU-NVMC'!G23</f>
        <v>30</v>
      </c>
      <c r="H14" s="57">
        <f>'2.BCMU-NVMC'!H23</f>
        <v>17</v>
      </c>
      <c r="I14" s="57">
        <f>'2.BCMU-NVMC'!I23</f>
        <v>30</v>
      </c>
      <c r="J14" s="57">
        <f>'2.BCMU-NVMC'!J23</f>
        <v>35</v>
      </c>
      <c r="K14" s="57">
        <f>'2.BCMU-NVMC'!K23</f>
        <v>11</v>
      </c>
      <c r="L14" s="57">
        <f>'2.BCMU-NVMC'!L23</f>
        <v>0</v>
      </c>
      <c r="M14" s="57">
        <f>'2.BCMU-NVMC'!M23</f>
        <v>0</v>
      </c>
      <c r="N14" s="63">
        <f>'2.BCMU-NVMC'!N23</f>
        <v>0</v>
      </c>
      <c r="O14" s="65" t="str">
        <f>'2.BCMU-NVMC'!O23</f>
        <v>1℃(-40)</v>
      </c>
      <c r="P14" s="60" t="str">
        <f>'2.BCMU-NVMC'!P23</f>
        <v>≤</v>
      </c>
      <c r="Q14" s="60">
        <f>'2.BCMU-NVMC'!Q23</f>
        <v>77</v>
      </c>
      <c r="R14" s="60">
        <f>'2.BCMU-NVMC'!R23</f>
        <v>78</v>
      </c>
      <c r="S14" s="64">
        <f>'2.BCMU-NVMC'!S23</f>
        <v>79</v>
      </c>
      <c r="T14" s="2"/>
      <c r="U14" s="2"/>
      <c r="V14" s="56" t="str">
        <f t="shared" si="0"/>
        <v>02</v>
      </c>
      <c r="W14" s="56" t="str">
        <f t="shared" si="1"/>
        <v>05</v>
      </c>
      <c r="X14" s="56" t="str">
        <f t="shared" si="2"/>
        <v>00</v>
      </c>
      <c r="Y14" s="56" t="str">
        <f t="shared" si="3"/>
        <v>0A</v>
      </c>
      <c r="Z14" s="56" t="str">
        <f t="shared" si="4"/>
        <v>00</v>
      </c>
      <c r="AA14" s="56" t="str">
        <f t="shared" si="5"/>
        <v>1E</v>
      </c>
      <c r="AB14" s="56" t="str">
        <f t="shared" si="6"/>
        <v>11</v>
      </c>
      <c r="AC14" s="56" t="str">
        <f t="shared" si="7"/>
        <v>00</v>
      </c>
      <c r="AD14" s="56" t="str">
        <f t="shared" si="8"/>
        <v>1E</v>
      </c>
      <c r="AE14" s="56" t="str">
        <f t="shared" si="9"/>
        <v>00</v>
      </c>
      <c r="AF14" s="56" t="str">
        <f t="shared" si="10"/>
        <v>23</v>
      </c>
      <c r="AG14" s="56" t="str">
        <f t="shared" si="11"/>
        <v>0B</v>
      </c>
      <c r="AH14" s="56" t="str">
        <f t="shared" si="12"/>
        <v>00</v>
      </c>
      <c r="AI14" s="56" t="str">
        <f t="shared" si="13"/>
        <v>00</v>
      </c>
      <c r="AJ14" s="56" t="str">
        <f t="shared" si="14"/>
        <v>00</v>
      </c>
      <c r="AK14" s="56" t="str">
        <f t="shared" si="15"/>
        <v>00</v>
      </c>
      <c r="AL14" s="56" t="str">
        <f t="shared" si="16"/>
        <v>00</v>
      </c>
    </row>
    <row r="15" spans="1:38" x14ac:dyDescent="0.25">
      <c r="A15" s="9">
        <f>'2.BCMU-NVMC'!A20</f>
        <v>18</v>
      </c>
      <c r="B15" s="5" t="str">
        <f>'2.BCMU-NVMC'!B20</f>
        <v>0xF012</v>
      </c>
      <c r="C15" s="61" t="str">
        <f>'2.BCMU-NVMC'!C20</f>
        <v>供电电压过高</v>
      </c>
      <c r="D15" s="57">
        <f>'2.BCMU-NVMC'!D20</f>
        <v>1</v>
      </c>
      <c r="E15" s="57">
        <f>'2.BCMU-NVMC'!E20</f>
        <v>3</v>
      </c>
      <c r="F15" s="57">
        <f>'2.BCMU-NVMC'!F20</f>
        <v>320</v>
      </c>
      <c r="G15" s="57">
        <f>'2.BCMU-NVMC'!G20</f>
        <v>260</v>
      </c>
      <c r="H15" s="57">
        <f>'2.BCMU-NVMC'!H20</f>
        <v>17</v>
      </c>
      <c r="I15" s="57">
        <f>'2.BCMU-NVMC'!I20</f>
        <v>500</v>
      </c>
      <c r="J15" s="57">
        <f>'2.BCMU-NVMC'!J20</f>
        <v>500</v>
      </c>
      <c r="K15" s="57">
        <f>'2.BCMU-NVMC'!K20</f>
        <v>0</v>
      </c>
      <c r="L15" s="57">
        <f>'2.BCMU-NVMC'!L20</f>
        <v>500</v>
      </c>
      <c r="M15" s="57">
        <f>'2.BCMU-NVMC'!M20</f>
        <v>500</v>
      </c>
      <c r="N15" s="63">
        <f>'2.BCMU-NVMC'!N20</f>
        <v>0</v>
      </c>
      <c r="O15" s="65" t="str">
        <f>'2.BCMU-NVMC'!O20</f>
        <v>0.1V</v>
      </c>
      <c r="P15" s="60" t="str">
        <f>'2.BCMU-NVMC'!P20</f>
        <v>≤</v>
      </c>
      <c r="Q15" s="60">
        <f>'2.BCMU-NVMC'!Q20</f>
        <v>66</v>
      </c>
      <c r="R15" s="60">
        <f>'2.BCMU-NVMC'!R20</f>
        <v>67</v>
      </c>
      <c r="S15" s="64">
        <f>'2.BCMU-NVMC'!S20</f>
        <v>68</v>
      </c>
      <c r="T15" s="2"/>
      <c r="U15" s="2"/>
      <c r="V15" s="56" t="str">
        <f t="shared" si="0"/>
        <v>01</v>
      </c>
      <c r="W15" s="56" t="str">
        <f t="shared" si="1"/>
        <v>03</v>
      </c>
      <c r="X15" s="56" t="str">
        <f t="shared" si="2"/>
        <v>01</v>
      </c>
      <c r="Y15" s="56" t="str">
        <f t="shared" si="3"/>
        <v>40</v>
      </c>
      <c r="Z15" s="56" t="str">
        <f t="shared" si="4"/>
        <v>01</v>
      </c>
      <c r="AA15" s="56" t="str">
        <f t="shared" si="5"/>
        <v>04</v>
      </c>
      <c r="AB15" s="56" t="str">
        <f t="shared" si="6"/>
        <v>11</v>
      </c>
      <c r="AC15" s="56" t="str">
        <f t="shared" si="7"/>
        <v>01</v>
      </c>
      <c r="AD15" s="56" t="str">
        <f t="shared" si="8"/>
        <v>F4</v>
      </c>
      <c r="AE15" s="56" t="str">
        <f t="shared" si="9"/>
        <v>01</v>
      </c>
      <c r="AF15" s="56" t="str">
        <f t="shared" si="10"/>
        <v>F4</v>
      </c>
      <c r="AG15" s="56" t="str">
        <f t="shared" si="11"/>
        <v>00</v>
      </c>
      <c r="AH15" s="56" t="str">
        <f t="shared" si="12"/>
        <v>01</v>
      </c>
      <c r="AI15" s="56" t="str">
        <f t="shared" si="13"/>
        <v>F4</v>
      </c>
      <c r="AJ15" s="56" t="str">
        <f t="shared" si="14"/>
        <v>01</v>
      </c>
      <c r="AK15" s="56" t="str">
        <f t="shared" si="15"/>
        <v>F4</v>
      </c>
      <c r="AL15" s="56" t="str">
        <f t="shared" si="16"/>
        <v>00</v>
      </c>
    </row>
    <row r="16" spans="1:38" x14ac:dyDescent="0.25">
      <c r="A16" s="9">
        <f>'2.BCMU-NVMC'!A21</f>
        <v>19</v>
      </c>
      <c r="B16" s="5" t="str">
        <f>'2.BCMU-NVMC'!B21</f>
        <v>0xF013</v>
      </c>
      <c r="C16" s="61" t="str">
        <f>'2.BCMU-NVMC'!C21</f>
        <v>供电电压过低</v>
      </c>
      <c r="D16" s="57">
        <f>'2.BCMU-NVMC'!D21</f>
        <v>1</v>
      </c>
      <c r="E16" s="57">
        <f>'2.BCMU-NVMC'!E21</f>
        <v>3</v>
      </c>
      <c r="F16" s="57">
        <f>'2.BCMU-NVMC'!F21</f>
        <v>90</v>
      </c>
      <c r="G16" s="57">
        <f>'2.BCMU-NVMC'!G21</f>
        <v>120</v>
      </c>
      <c r="H16" s="57">
        <f>'2.BCMU-NVMC'!H21</f>
        <v>17</v>
      </c>
      <c r="I16" s="57">
        <f>'2.BCMU-NVMC'!I21</f>
        <v>0</v>
      </c>
      <c r="J16" s="57">
        <f>'2.BCMU-NVMC'!J21</f>
        <v>0</v>
      </c>
      <c r="K16" s="57">
        <f>'2.BCMU-NVMC'!K21</f>
        <v>0</v>
      </c>
      <c r="L16" s="57">
        <f>'2.BCMU-NVMC'!L21</f>
        <v>0</v>
      </c>
      <c r="M16" s="57">
        <f>'2.BCMU-NVMC'!M21</f>
        <v>0</v>
      </c>
      <c r="N16" s="63">
        <f>'2.BCMU-NVMC'!N21</f>
        <v>0</v>
      </c>
      <c r="O16" s="65" t="str">
        <f>'2.BCMU-NVMC'!O21</f>
        <v>0.1V</v>
      </c>
      <c r="P16" s="60" t="str">
        <f>'2.BCMU-NVMC'!P21</f>
        <v>≥</v>
      </c>
      <c r="Q16" s="60">
        <f>'2.BCMU-NVMC'!Q21</f>
        <v>69</v>
      </c>
      <c r="R16" s="60">
        <f>'2.BCMU-NVMC'!R21</f>
        <v>70</v>
      </c>
      <c r="S16" s="64">
        <f>'2.BCMU-NVMC'!S21</f>
        <v>71</v>
      </c>
      <c r="T16" s="2"/>
      <c r="U16" s="2"/>
      <c r="V16" s="56" t="str">
        <f t="shared" si="0"/>
        <v>01</v>
      </c>
      <c r="W16" s="56" t="str">
        <f t="shared" si="1"/>
        <v>03</v>
      </c>
      <c r="X16" s="56" t="str">
        <f t="shared" si="2"/>
        <v>00</v>
      </c>
      <c r="Y16" s="56" t="str">
        <f t="shared" si="3"/>
        <v>5A</v>
      </c>
      <c r="Z16" s="56" t="str">
        <f t="shared" si="4"/>
        <v>00</v>
      </c>
      <c r="AA16" s="56" t="str">
        <f t="shared" si="5"/>
        <v>78</v>
      </c>
      <c r="AB16" s="56" t="str">
        <f t="shared" si="6"/>
        <v>11</v>
      </c>
      <c r="AC16" s="56" t="str">
        <f t="shared" si="7"/>
        <v>00</v>
      </c>
      <c r="AD16" s="56" t="str">
        <f t="shared" si="8"/>
        <v>00</v>
      </c>
      <c r="AE16" s="56" t="str">
        <f t="shared" si="9"/>
        <v>00</v>
      </c>
      <c r="AF16" s="56" t="str">
        <f t="shared" si="10"/>
        <v>00</v>
      </c>
      <c r="AG16" s="56" t="str">
        <f t="shared" si="11"/>
        <v>00</v>
      </c>
      <c r="AH16" s="56" t="str">
        <f t="shared" si="12"/>
        <v>00</v>
      </c>
      <c r="AI16" s="56" t="str">
        <f t="shared" si="13"/>
        <v>00</v>
      </c>
      <c r="AJ16" s="56" t="str">
        <f t="shared" si="14"/>
        <v>00</v>
      </c>
      <c r="AK16" s="56" t="str">
        <f t="shared" si="15"/>
        <v>00</v>
      </c>
      <c r="AL16" s="56" t="str">
        <f t="shared" si="16"/>
        <v>00</v>
      </c>
    </row>
    <row r="17" spans="1:51" x14ac:dyDescent="0.25">
      <c r="A17" s="9">
        <f>'2.BCMU-NVMC'!A12</f>
        <v>10</v>
      </c>
      <c r="B17" s="5" t="str">
        <f>'2.BCMU-NVMC'!B12</f>
        <v>0xF014</v>
      </c>
      <c r="C17" s="61" t="str">
        <f>'2.BCMU-NVMC'!C12</f>
        <v>高压绝缘故障</v>
      </c>
      <c r="D17" s="57">
        <f>'2.BCMU-NVMC'!D12</f>
        <v>3</v>
      </c>
      <c r="E17" s="57">
        <f>'2.BCMU-NVMC'!E12</f>
        <v>20</v>
      </c>
      <c r="F17" s="57">
        <f>'2.BCMU-NVMC'!F12</f>
        <v>600</v>
      </c>
      <c r="G17" s="57">
        <f>'2.BCMU-NVMC'!G12</f>
        <v>800</v>
      </c>
      <c r="H17" s="57">
        <f>'2.BCMU-NVMC'!H12</f>
        <v>17</v>
      </c>
      <c r="I17" s="57">
        <f>'2.BCMU-NVMC'!I12</f>
        <v>800</v>
      </c>
      <c r="J17" s="57">
        <f>'2.BCMU-NVMC'!J12</f>
        <v>1000</v>
      </c>
      <c r="K17" s="57">
        <f>'2.BCMU-NVMC'!K12</f>
        <v>11</v>
      </c>
      <c r="L17" s="57">
        <f>'2.BCMU-NVMC'!L12</f>
        <v>1000</v>
      </c>
      <c r="M17" s="57">
        <f>'2.BCMU-NVMC'!M12</f>
        <v>1200</v>
      </c>
      <c r="N17" s="63">
        <f>'2.BCMU-NVMC'!N12</f>
        <v>1</v>
      </c>
      <c r="O17" s="65" t="str">
        <f>'2.BCMU-NVMC'!O12</f>
        <v>1Ω/V</v>
      </c>
      <c r="P17" s="60" t="str">
        <f>'2.BCMU-NVMC'!P12</f>
        <v>≤</v>
      </c>
      <c r="Q17" s="60">
        <f>'2.BCMU-NVMC'!Q12</f>
        <v>28</v>
      </c>
      <c r="R17" s="60">
        <f>'2.BCMU-NVMC'!R12</f>
        <v>29</v>
      </c>
      <c r="S17" s="64">
        <f>'2.BCMU-NVMC'!S12</f>
        <v>30</v>
      </c>
      <c r="T17" s="2"/>
      <c r="U17" s="2"/>
      <c r="V17" s="56" t="str">
        <f t="shared" si="0"/>
        <v>03</v>
      </c>
      <c r="W17" s="56" t="str">
        <f t="shared" si="1"/>
        <v>14</v>
      </c>
      <c r="X17" s="56" t="str">
        <f t="shared" si="2"/>
        <v>02</v>
      </c>
      <c r="Y17" s="56" t="str">
        <f t="shared" si="3"/>
        <v>58</v>
      </c>
      <c r="Z17" s="56" t="str">
        <f t="shared" si="4"/>
        <v>03</v>
      </c>
      <c r="AA17" s="56" t="str">
        <f t="shared" si="5"/>
        <v>20</v>
      </c>
      <c r="AB17" s="56" t="str">
        <f t="shared" si="6"/>
        <v>11</v>
      </c>
      <c r="AC17" s="56" t="str">
        <f t="shared" si="7"/>
        <v>03</v>
      </c>
      <c r="AD17" s="56" t="str">
        <f t="shared" si="8"/>
        <v>20</v>
      </c>
      <c r="AE17" s="56" t="str">
        <f t="shared" si="9"/>
        <v>03</v>
      </c>
      <c r="AF17" s="56" t="str">
        <f t="shared" si="10"/>
        <v>E8</v>
      </c>
      <c r="AG17" s="56" t="str">
        <f t="shared" si="11"/>
        <v>0B</v>
      </c>
      <c r="AH17" s="56" t="str">
        <f t="shared" si="12"/>
        <v>03</v>
      </c>
      <c r="AI17" s="56" t="str">
        <f t="shared" si="13"/>
        <v>E8</v>
      </c>
      <c r="AJ17" s="56" t="str">
        <f t="shared" si="14"/>
        <v>04</v>
      </c>
      <c r="AK17" s="56" t="str">
        <f t="shared" si="15"/>
        <v>B0</v>
      </c>
      <c r="AL17" s="56" t="str">
        <f t="shared" si="16"/>
        <v>01</v>
      </c>
    </row>
    <row r="18" spans="1:51" x14ac:dyDescent="0.25">
      <c r="A18" s="13">
        <f>'2.BCMU-NVMC'!A24</f>
        <v>22</v>
      </c>
      <c r="B18" s="14" t="str">
        <f>'2.BCMU-NVMC'!B24</f>
        <v>0xF019</v>
      </c>
      <c r="C18" s="15" t="str">
        <f>'2.BCMU-NVMC'!C24</f>
        <v>S板过高温(单体)</v>
      </c>
      <c r="D18" s="57">
        <f>'2.BCMU-NVMC'!D24</f>
        <v>1</v>
      </c>
      <c r="E18" s="57">
        <f>'2.BCMU-NVMC'!E24</f>
        <v>5</v>
      </c>
      <c r="F18" s="57">
        <f>'2.BCMU-NVMC'!F24</f>
        <v>105</v>
      </c>
      <c r="G18" s="57">
        <f>'2.BCMU-NVMC'!G24</f>
        <v>0</v>
      </c>
      <c r="H18" s="57">
        <f>'2.BCMU-NVMC'!H24</f>
        <v>17</v>
      </c>
      <c r="I18" s="57">
        <f>'2.BCMU-NVMC'!I24</f>
        <v>0</v>
      </c>
      <c r="J18" s="57">
        <f>'2.BCMU-NVMC'!J24</f>
        <v>0</v>
      </c>
      <c r="K18" s="57">
        <f>'2.BCMU-NVMC'!K24</f>
        <v>0</v>
      </c>
      <c r="L18" s="57">
        <f>'2.BCMU-NVMC'!L24</f>
        <v>0</v>
      </c>
      <c r="M18" s="57">
        <f>'2.BCMU-NVMC'!M24</f>
        <v>0</v>
      </c>
      <c r="N18" s="63">
        <f>'2.BCMU-NVMC'!N24</f>
        <v>0</v>
      </c>
      <c r="O18" s="65" t="str">
        <f>'2.BCMU-NVMC'!O24</f>
        <v>1℃(-40)</v>
      </c>
      <c r="P18" s="60" t="str">
        <f>'2.BCMU-NVMC'!P24</f>
        <v>≤</v>
      </c>
      <c r="Q18" s="60">
        <f>'2.BCMU-NVMC'!Q24</f>
        <v>0</v>
      </c>
      <c r="R18" s="60">
        <f>'2.BCMU-NVMC'!R24</f>
        <v>0</v>
      </c>
      <c r="S18" s="64">
        <f>'2.BCMU-NVMC'!S24</f>
        <v>91</v>
      </c>
      <c r="T18" s="2"/>
      <c r="U18" s="2"/>
      <c r="V18" s="56" t="str">
        <f t="shared" si="0"/>
        <v>01</v>
      </c>
      <c r="W18" s="56" t="str">
        <f t="shared" si="1"/>
        <v>05</v>
      </c>
      <c r="X18" s="56" t="str">
        <f t="shared" si="2"/>
        <v>00</v>
      </c>
      <c r="Y18" s="56" t="str">
        <f t="shared" si="3"/>
        <v>69</v>
      </c>
      <c r="Z18" s="56" t="str">
        <f t="shared" si="4"/>
        <v>00</v>
      </c>
      <c r="AA18" s="56" t="str">
        <f t="shared" si="5"/>
        <v>00</v>
      </c>
      <c r="AB18" s="56" t="str">
        <f t="shared" si="6"/>
        <v>11</v>
      </c>
      <c r="AC18" s="56" t="str">
        <f t="shared" si="7"/>
        <v>00</v>
      </c>
      <c r="AD18" s="56" t="str">
        <f t="shared" si="8"/>
        <v>00</v>
      </c>
      <c r="AE18" s="56" t="str">
        <f t="shared" si="9"/>
        <v>00</v>
      </c>
      <c r="AF18" s="56" t="str">
        <f t="shared" si="10"/>
        <v>00</v>
      </c>
      <c r="AG18" s="56" t="str">
        <f t="shared" si="11"/>
        <v>00</v>
      </c>
      <c r="AH18" s="56" t="str">
        <f t="shared" si="12"/>
        <v>00</v>
      </c>
      <c r="AI18" s="56" t="str">
        <f t="shared" si="13"/>
        <v>00</v>
      </c>
      <c r="AJ18" s="56" t="str">
        <f t="shared" si="14"/>
        <v>00</v>
      </c>
      <c r="AK18" s="56" t="str">
        <f t="shared" si="15"/>
        <v>00</v>
      </c>
      <c r="AL18" s="56" t="str">
        <f t="shared" si="16"/>
        <v>00</v>
      </c>
    </row>
    <row r="19" spans="1:51" x14ac:dyDescent="0.25">
      <c r="A19" s="13">
        <f>'2.BCMU-NVMC'!A25</f>
        <v>23</v>
      </c>
      <c r="B19" s="14" t="str">
        <f>'2.BCMU-NVMC'!B25</f>
        <v>0xF01A</v>
      </c>
      <c r="C19" s="15" t="str">
        <f>'2.BCMU-NVMC'!C25</f>
        <v>S板过高温(环境)</v>
      </c>
      <c r="D19" s="57">
        <f>'2.BCMU-NVMC'!D25</f>
        <v>1</v>
      </c>
      <c r="E19" s="57">
        <f>'2.BCMU-NVMC'!E25</f>
        <v>5</v>
      </c>
      <c r="F19" s="57">
        <f>'2.BCMU-NVMC'!F25</f>
        <v>105</v>
      </c>
      <c r="G19" s="57">
        <f>'2.BCMU-NVMC'!G25</f>
        <v>0</v>
      </c>
      <c r="H19" s="57">
        <f>'2.BCMU-NVMC'!H25</f>
        <v>17</v>
      </c>
      <c r="I19" s="57">
        <f>'2.BCMU-NVMC'!I25</f>
        <v>0</v>
      </c>
      <c r="J19" s="57">
        <f>'2.BCMU-NVMC'!J25</f>
        <v>0</v>
      </c>
      <c r="K19" s="57">
        <f>'2.BCMU-NVMC'!K25</f>
        <v>0</v>
      </c>
      <c r="L19" s="57">
        <f>'2.BCMU-NVMC'!L25</f>
        <v>0</v>
      </c>
      <c r="M19" s="57">
        <f>'2.BCMU-NVMC'!M25</f>
        <v>0</v>
      </c>
      <c r="N19" s="63">
        <f>'2.BCMU-NVMC'!N25</f>
        <v>0</v>
      </c>
      <c r="O19" s="65" t="str">
        <f>'2.BCMU-NVMC'!O25</f>
        <v>1℃(-40)</v>
      </c>
      <c r="P19" s="60" t="str">
        <f>'2.BCMU-NVMC'!P25</f>
        <v>≤</v>
      </c>
      <c r="Q19" s="60">
        <f>'2.BCMU-NVMC'!Q25</f>
        <v>0</v>
      </c>
      <c r="R19" s="60">
        <f>'2.BCMU-NVMC'!R25</f>
        <v>0</v>
      </c>
      <c r="S19" s="64">
        <f>'2.BCMU-NVMC'!S25</f>
        <v>92</v>
      </c>
      <c r="T19" s="2"/>
      <c r="U19" s="2"/>
      <c r="V19" s="56" t="str">
        <f t="shared" si="0"/>
        <v>01</v>
      </c>
      <c r="W19" s="56" t="str">
        <f t="shared" si="1"/>
        <v>05</v>
      </c>
      <c r="X19" s="56" t="str">
        <f t="shared" si="2"/>
        <v>00</v>
      </c>
      <c r="Y19" s="56" t="str">
        <f t="shared" si="3"/>
        <v>69</v>
      </c>
      <c r="Z19" s="56" t="str">
        <f t="shared" si="4"/>
        <v>00</v>
      </c>
      <c r="AA19" s="56" t="str">
        <f t="shared" si="5"/>
        <v>00</v>
      </c>
      <c r="AB19" s="56" t="str">
        <f t="shared" si="6"/>
        <v>11</v>
      </c>
      <c r="AC19" s="56" t="str">
        <f t="shared" si="7"/>
        <v>00</v>
      </c>
      <c r="AD19" s="56" t="str">
        <f t="shared" si="8"/>
        <v>00</v>
      </c>
      <c r="AE19" s="56" t="str">
        <f t="shared" si="9"/>
        <v>00</v>
      </c>
      <c r="AF19" s="56" t="str">
        <f t="shared" si="10"/>
        <v>00</v>
      </c>
      <c r="AG19" s="56" t="str">
        <f t="shared" si="11"/>
        <v>00</v>
      </c>
      <c r="AH19" s="56" t="str">
        <f t="shared" si="12"/>
        <v>00</v>
      </c>
      <c r="AI19" s="56" t="str">
        <f t="shared" si="13"/>
        <v>00</v>
      </c>
      <c r="AJ19" s="56" t="str">
        <f t="shared" si="14"/>
        <v>00</v>
      </c>
      <c r="AK19" s="56" t="str">
        <f t="shared" si="15"/>
        <v>00</v>
      </c>
      <c r="AL19" s="56" t="str">
        <f t="shared" si="16"/>
        <v>00</v>
      </c>
    </row>
    <row r="20" spans="1:51" x14ac:dyDescent="0.25">
      <c r="A20" s="13">
        <f>'2.BCMU-NVMC'!A26</f>
        <v>24</v>
      </c>
      <c r="B20" s="14" t="str">
        <f>'2.BCMU-NVMC'!B26</f>
        <v>0xF01B</v>
      </c>
      <c r="C20" s="15" t="str">
        <f>'2.BCMU-NVMC'!C26</f>
        <v>S板充电插座过温</v>
      </c>
      <c r="D20" s="57">
        <f>'2.BCMU-NVMC'!D26</f>
        <v>3</v>
      </c>
      <c r="E20" s="57">
        <f>'2.BCMU-NVMC'!E26</f>
        <v>3</v>
      </c>
      <c r="F20" s="57">
        <f>'2.BCMU-NVMC'!F26</f>
        <v>200</v>
      </c>
      <c r="G20" s="57">
        <f>'2.BCMU-NVMC'!G26</f>
        <v>200</v>
      </c>
      <c r="H20" s="57">
        <f>'2.BCMU-NVMC'!H26</f>
        <v>0</v>
      </c>
      <c r="I20" s="57">
        <f>'2.BCMU-NVMC'!I26</f>
        <v>140</v>
      </c>
      <c r="J20" s="57">
        <f>'2.BCMU-NVMC'!J26</f>
        <v>0</v>
      </c>
      <c r="K20" s="57">
        <f>'2.BCMU-NVMC'!K26</f>
        <v>17</v>
      </c>
      <c r="L20" s="57">
        <f>'2.BCMU-NVMC'!L26</f>
        <v>135</v>
      </c>
      <c r="M20" s="57">
        <f>'2.BCMU-NVMC'!M26</f>
        <v>130</v>
      </c>
      <c r="N20" s="63">
        <f>'2.BCMU-NVMC'!N26</f>
        <v>10</v>
      </c>
      <c r="O20" s="65" t="str">
        <f>'2.BCMU-NVMC'!O26</f>
        <v>1℃(-40)</v>
      </c>
      <c r="P20" s="60" t="str">
        <f>'2.BCMU-NVMC'!P26</f>
        <v>≥</v>
      </c>
      <c r="Q20" s="60">
        <f>'2.BCMU-NVMC'!Q26</f>
        <v>93</v>
      </c>
      <c r="R20" s="60">
        <f>'2.BCMU-NVMC'!R26</f>
        <v>94</v>
      </c>
      <c r="S20" s="64">
        <f>'2.BCMU-NVMC'!S26</f>
        <v>0</v>
      </c>
      <c r="T20" s="2"/>
      <c r="U20" s="2"/>
      <c r="V20" s="56" t="str">
        <f t="shared" si="0"/>
        <v>03</v>
      </c>
      <c r="W20" s="56" t="str">
        <f t="shared" si="1"/>
        <v>03</v>
      </c>
      <c r="X20" s="56" t="str">
        <f t="shared" si="2"/>
        <v>00</v>
      </c>
      <c r="Y20" s="56" t="str">
        <f t="shared" si="3"/>
        <v>C8</v>
      </c>
      <c r="Z20" s="56" t="str">
        <f t="shared" si="4"/>
        <v>00</v>
      </c>
      <c r="AA20" s="56" t="str">
        <f t="shared" si="5"/>
        <v>C8</v>
      </c>
      <c r="AB20" s="56" t="str">
        <f t="shared" si="6"/>
        <v>00</v>
      </c>
      <c r="AC20" s="56" t="str">
        <f t="shared" si="7"/>
        <v>00</v>
      </c>
      <c r="AD20" s="56" t="str">
        <f t="shared" si="8"/>
        <v>8C</v>
      </c>
      <c r="AE20" s="56" t="str">
        <f t="shared" si="9"/>
        <v>00</v>
      </c>
      <c r="AF20" s="56" t="str">
        <f t="shared" si="10"/>
        <v>00</v>
      </c>
      <c r="AG20" s="56" t="str">
        <f t="shared" si="11"/>
        <v>11</v>
      </c>
      <c r="AH20" s="56" t="str">
        <f t="shared" si="12"/>
        <v>00</v>
      </c>
      <c r="AI20" s="56" t="str">
        <f t="shared" si="13"/>
        <v>87</v>
      </c>
      <c r="AJ20" s="56" t="str">
        <f t="shared" si="14"/>
        <v>00</v>
      </c>
      <c r="AK20" s="56" t="str">
        <f t="shared" si="15"/>
        <v>82</v>
      </c>
      <c r="AL20" s="56" t="str">
        <f t="shared" si="16"/>
        <v>0A</v>
      </c>
    </row>
    <row r="21" spans="1:51" x14ac:dyDescent="0.25">
      <c r="A21" s="13">
        <f>'2.BCMU-NVMC'!A27</f>
        <v>25</v>
      </c>
      <c r="B21" s="14" t="str">
        <f>'2.BCMU-NVMC'!B27</f>
        <v>0xF01C</v>
      </c>
      <c r="C21" s="15" t="str">
        <f>'2.BCMU-NVMC'!C27</f>
        <v>环流过大</v>
      </c>
      <c r="D21" s="57">
        <f>'2.BCMU-NVMC'!D27</f>
        <v>1</v>
      </c>
      <c r="E21" s="57">
        <f>'2.BCMU-NVMC'!E27</f>
        <v>3</v>
      </c>
      <c r="F21" s="57">
        <f>'2.BCMU-NVMC'!F27</f>
        <v>100</v>
      </c>
      <c r="G21" s="57">
        <f>'2.BCMU-NVMC'!G27</f>
        <v>0</v>
      </c>
      <c r="H21" s="57">
        <f>'2.BCMU-NVMC'!H27</f>
        <v>17</v>
      </c>
      <c r="I21" s="57">
        <f>'2.BCMU-NVMC'!I27</f>
        <v>0</v>
      </c>
      <c r="J21" s="57">
        <f>'2.BCMU-NVMC'!J27</f>
        <v>0</v>
      </c>
      <c r="K21" s="57">
        <f>'2.BCMU-NVMC'!K27</f>
        <v>0</v>
      </c>
      <c r="L21" s="57">
        <f>'2.BCMU-NVMC'!L27</f>
        <v>0</v>
      </c>
      <c r="M21" s="57">
        <f>'2.BCMU-NVMC'!M27</f>
        <v>0</v>
      </c>
      <c r="N21" s="63">
        <f>'2.BCMU-NVMC'!N27</f>
        <v>0</v>
      </c>
      <c r="O21" s="66" t="str">
        <f>'2.BCMU-NVMC'!O27</f>
        <v>0.1A</v>
      </c>
      <c r="P21" s="60" t="str">
        <f>'2.BCMU-NVMC'!P27</f>
        <v>≥</v>
      </c>
      <c r="Q21" s="60">
        <f>'2.BCMU-NVMC'!Q27</f>
        <v>0</v>
      </c>
      <c r="R21" s="60">
        <f>'2.BCMU-NVMC'!R27</f>
        <v>0</v>
      </c>
      <c r="S21" s="64">
        <f>'2.BCMU-NVMC'!S27</f>
        <v>96</v>
      </c>
      <c r="T21" s="2"/>
      <c r="U21" s="2"/>
      <c r="V21" s="56" t="str">
        <f t="shared" si="0"/>
        <v>01</v>
      </c>
      <c r="W21" s="56" t="str">
        <f t="shared" si="1"/>
        <v>03</v>
      </c>
      <c r="X21" s="56" t="str">
        <f t="shared" si="2"/>
        <v>00</v>
      </c>
      <c r="Y21" s="56" t="str">
        <f t="shared" si="3"/>
        <v>64</v>
      </c>
      <c r="Z21" s="56" t="str">
        <f t="shared" si="4"/>
        <v>00</v>
      </c>
      <c r="AA21" s="56" t="str">
        <f t="shared" si="5"/>
        <v>00</v>
      </c>
      <c r="AB21" s="56" t="str">
        <f t="shared" si="6"/>
        <v>11</v>
      </c>
      <c r="AC21" s="56" t="str">
        <f t="shared" si="7"/>
        <v>00</v>
      </c>
      <c r="AD21" s="56" t="str">
        <f t="shared" si="8"/>
        <v>00</v>
      </c>
      <c r="AE21" s="56" t="str">
        <f t="shared" si="9"/>
        <v>00</v>
      </c>
      <c r="AF21" s="56" t="str">
        <f t="shared" si="10"/>
        <v>00</v>
      </c>
      <c r="AG21" s="56" t="str">
        <f t="shared" si="11"/>
        <v>00</v>
      </c>
      <c r="AH21" s="56" t="str">
        <f t="shared" si="12"/>
        <v>00</v>
      </c>
      <c r="AI21" s="56" t="str">
        <f t="shared" si="13"/>
        <v>00</v>
      </c>
      <c r="AJ21" s="56" t="str">
        <f t="shared" si="14"/>
        <v>00</v>
      </c>
      <c r="AK21" s="56" t="str">
        <f t="shared" si="15"/>
        <v>00</v>
      </c>
      <c r="AL21" s="56" t="str">
        <f t="shared" si="16"/>
        <v>00</v>
      </c>
    </row>
    <row r="22" spans="1:51" x14ac:dyDescent="0.25">
      <c r="A22" s="11">
        <f>'2.BCMU-NVMC'!A6</f>
        <v>4</v>
      </c>
      <c r="B22" s="5" t="str">
        <f>'2.BCMU-NVMC'!B6</f>
        <v>0xF01E</v>
      </c>
      <c r="C22" s="62" t="str">
        <f>'2.BCMU-NVMC'!C6</f>
        <v>模块总压过高</v>
      </c>
      <c r="D22" s="57">
        <f>'2.BCMU-NVMC'!D6</f>
        <v>3</v>
      </c>
      <c r="E22" s="57">
        <f>'2.BCMU-NVMC'!E6</f>
        <v>2</v>
      </c>
      <c r="F22" s="57">
        <f>'2.BCMU-NVMC'!F6</f>
        <v>639</v>
      </c>
      <c r="G22" s="57">
        <f>'2.BCMU-NVMC'!G6</f>
        <v>0</v>
      </c>
      <c r="H22" s="57">
        <f>'2.BCMU-NVMC'!H6</f>
        <v>17</v>
      </c>
      <c r="I22" s="57">
        <f>'2.BCMU-NVMC'!I6</f>
        <v>630</v>
      </c>
      <c r="J22" s="57">
        <f>'2.BCMU-NVMC'!J6</f>
        <v>621.9</v>
      </c>
      <c r="K22" s="57">
        <f>'2.BCMU-NVMC'!K6</f>
        <v>16</v>
      </c>
      <c r="L22" s="57">
        <f>'2.BCMU-NVMC'!L6</f>
        <v>621.9</v>
      </c>
      <c r="M22" s="57">
        <f>'2.BCMU-NVMC'!M6</f>
        <v>621</v>
      </c>
      <c r="N22" s="63">
        <f>'2.BCMU-NVMC'!N6</f>
        <v>16</v>
      </c>
      <c r="O22" s="65" t="str">
        <f>'2.BCMU-NVMC'!O6</f>
        <v>0.1V</v>
      </c>
      <c r="P22" s="60" t="str">
        <f>'2.BCMU-NVMC'!P6</f>
        <v>≥</v>
      </c>
      <c r="Q22" s="60">
        <f>'2.BCMU-NVMC'!Q6</f>
        <v>10</v>
      </c>
      <c r="R22" s="60">
        <f>'2.BCMU-NVMC'!R6</f>
        <v>11</v>
      </c>
      <c r="S22" s="64">
        <f>'2.BCMU-NVMC'!S6</f>
        <v>12</v>
      </c>
      <c r="T22" s="2"/>
      <c r="U22" s="2"/>
      <c r="V22" s="56" t="str">
        <f t="shared" si="0"/>
        <v>03</v>
      </c>
      <c r="W22" s="56" t="str">
        <f t="shared" si="1"/>
        <v>02</v>
      </c>
      <c r="X22" s="56" t="str">
        <f t="shared" si="2"/>
        <v>02</v>
      </c>
      <c r="Y22" s="56" t="str">
        <f t="shared" si="3"/>
        <v>7F</v>
      </c>
      <c r="Z22" s="56" t="str">
        <f t="shared" si="4"/>
        <v>00</v>
      </c>
      <c r="AA22" s="56" t="str">
        <f t="shared" si="5"/>
        <v>00</v>
      </c>
      <c r="AB22" s="56" t="str">
        <f t="shared" si="6"/>
        <v>11</v>
      </c>
      <c r="AC22" s="56" t="str">
        <f t="shared" si="7"/>
        <v>02</v>
      </c>
      <c r="AD22" s="56" t="str">
        <f t="shared" si="8"/>
        <v>76</v>
      </c>
      <c r="AE22" s="56" t="str">
        <f t="shared" si="9"/>
        <v>02</v>
      </c>
      <c r="AF22" s="56" t="str">
        <f t="shared" si="10"/>
        <v>6D</v>
      </c>
      <c r="AG22" s="56" t="str">
        <f t="shared" si="11"/>
        <v>10</v>
      </c>
      <c r="AH22" s="56" t="str">
        <f t="shared" si="12"/>
        <v>02</v>
      </c>
      <c r="AI22" s="56" t="str">
        <f t="shared" si="13"/>
        <v>6D</v>
      </c>
      <c r="AJ22" s="56" t="str">
        <f t="shared" si="14"/>
        <v>02</v>
      </c>
      <c r="AK22" s="56" t="str">
        <f t="shared" si="15"/>
        <v>6D</v>
      </c>
      <c r="AL22" s="56" t="str">
        <f t="shared" si="16"/>
        <v>10</v>
      </c>
    </row>
    <row r="23" spans="1:51" x14ac:dyDescent="0.25">
      <c r="A23" s="11">
        <f>'2.BCMU-NVMC'!A7</f>
        <v>5</v>
      </c>
      <c r="B23" s="5" t="str">
        <f>'2.BCMU-NVMC'!B7</f>
        <v>0xF01F</v>
      </c>
      <c r="C23" s="62" t="str">
        <f>'2.BCMU-NVMC'!C7</f>
        <v>模块总压过低</v>
      </c>
      <c r="D23" s="57">
        <f>'2.BCMU-NVMC'!D7</f>
        <v>3</v>
      </c>
      <c r="E23" s="57">
        <f>'2.BCMU-NVMC'!E7</f>
        <v>2</v>
      </c>
      <c r="F23" s="57">
        <f>'2.BCMU-NVMC'!F7</f>
        <v>513</v>
      </c>
      <c r="G23" s="57">
        <f>'2.BCMU-NVMC'!G7</f>
        <v>810</v>
      </c>
      <c r="H23" s="57">
        <f>'2.BCMU-NVMC'!H7</f>
        <v>14</v>
      </c>
      <c r="I23" s="57">
        <f>'2.BCMU-NVMC'!I7</f>
        <v>522</v>
      </c>
      <c r="J23" s="57">
        <f>'2.BCMU-NVMC'!J7</f>
        <v>531</v>
      </c>
      <c r="K23" s="57">
        <f>'2.BCMU-NVMC'!K7</f>
        <v>14</v>
      </c>
      <c r="L23" s="57">
        <f>'2.BCMU-NVMC'!L7</f>
        <v>531</v>
      </c>
      <c r="M23" s="57">
        <f>'2.BCMU-NVMC'!M7</f>
        <v>540</v>
      </c>
      <c r="N23" s="63">
        <f>'2.BCMU-NVMC'!N7</f>
        <v>9</v>
      </c>
      <c r="O23" s="65" t="str">
        <f>'2.BCMU-NVMC'!O7</f>
        <v>0.1V</v>
      </c>
      <c r="P23" s="60" t="str">
        <f>'2.BCMU-NVMC'!P7</f>
        <v>≤</v>
      </c>
      <c r="Q23" s="60">
        <f>'2.BCMU-NVMC'!Q7</f>
        <v>13</v>
      </c>
      <c r="R23" s="60">
        <f>'2.BCMU-NVMC'!R7</f>
        <v>14</v>
      </c>
      <c r="S23" s="64">
        <f>'2.BCMU-NVMC'!S7</f>
        <v>15</v>
      </c>
      <c r="T23" s="2"/>
      <c r="U23" s="2"/>
      <c r="V23" s="56" t="str">
        <f t="shared" si="0"/>
        <v>03</v>
      </c>
      <c r="W23" s="56" t="str">
        <f t="shared" si="1"/>
        <v>02</v>
      </c>
      <c r="X23" s="56" t="str">
        <f t="shared" si="2"/>
        <v>02</v>
      </c>
      <c r="Y23" s="56" t="str">
        <f t="shared" si="3"/>
        <v>01</v>
      </c>
      <c r="Z23" s="56" t="str">
        <f t="shared" si="4"/>
        <v>03</v>
      </c>
      <c r="AA23" s="56" t="str">
        <f t="shared" si="5"/>
        <v>2A</v>
      </c>
      <c r="AB23" s="56" t="str">
        <f t="shared" si="6"/>
        <v>0E</v>
      </c>
      <c r="AC23" s="56" t="str">
        <f t="shared" si="7"/>
        <v>02</v>
      </c>
      <c r="AD23" s="56" t="str">
        <f t="shared" si="8"/>
        <v>0A</v>
      </c>
      <c r="AE23" s="56" t="str">
        <f t="shared" si="9"/>
        <v>02</v>
      </c>
      <c r="AF23" s="56" t="str">
        <f t="shared" si="10"/>
        <v>13</v>
      </c>
      <c r="AG23" s="56" t="str">
        <f t="shared" si="11"/>
        <v>0E</v>
      </c>
      <c r="AH23" s="56" t="str">
        <f t="shared" si="12"/>
        <v>02</v>
      </c>
      <c r="AI23" s="56" t="str">
        <f t="shared" si="13"/>
        <v>13</v>
      </c>
      <c r="AJ23" s="56" t="str">
        <f t="shared" si="14"/>
        <v>02</v>
      </c>
      <c r="AK23" s="56" t="str">
        <f t="shared" si="15"/>
        <v>1C</v>
      </c>
      <c r="AL23" s="56" t="str">
        <f t="shared" si="16"/>
        <v>09</v>
      </c>
    </row>
    <row r="24" spans="1:51" x14ac:dyDescent="0.25">
      <c r="A24" s="9">
        <f>'2.BCMU-NVMC'!A13</f>
        <v>11</v>
      </c>
      <c r="B24" s="14" t="str">
        <f>'2.BCMU-NVMC'!B13</f>
        <v>0xF020</v>
      </c>
      <c r="C24" s="61" t="str">
        <f>'2.BCMU-NVMC'!C13</f>
        <v>充电温度高</v>
      </c>
      <c r="D24" s="57">
        <f>'2.BCMU-NVMC'!D13</f>
        <v>3</v>
      </c>
      <c r="E24" s="57">
        <f>'2.BCMU-NVMC'!E13</f>
        <v>5</v>
      </c>
      <c r="F24" s="57">
        <f>'2.BCMU-NVMC'!F13</f>
        <v>100</v>
      </c>
      <c r="G24" s="57">
        <f>'2.BCMU-NVMC'!G13</f>
        <v>0</v>
      </c>
      <c r="H24" s="57">
        <f>'2.BCMU-NVMC'!H13</f>
        <v>17</v>
      </c>
      <c r="I24" s="57">
        <f>'2.BCMU-NVMC'!I13</f>
        <v>95</v>
      </c>
      <c r="J24" s="57">
        <f>'2.BCMU-NVMC'!J13</f>
        <v>90</v>
      </c>
      <c r="K24" s="57">
        <f>'2.BCMU-NVMC'!K13</f>
        <v>11</v>
      </c>
      <c r="L24" s="57">
        <f>'2.BCMU-NVMC'!L13</f>
        <v>90</v>
      </c>
      <c r="M24" s="57">
        <f>'2.BCMU-NVMC'!M13</f>
        <v>85</v>
      </c>
      <c r="N24" s="63">
        <f>'2.BCMU-NVMC'!N13</f>
        <v>1</v>
      </c>
      <c r="O24" s="65" t="str">
        <f>'2.BCMU-NVMC'!O13</f>
        <v>1℃(-40)</v>
      </c>
      <c r="P24" s="60" t="str">
        <f>'2.BCMU-NVMC'!P13</f>
        <v>≥</v>
      </c>
      <c r="Q24" s="60">
        <f>'2.BCMU-NVMC'!Q13</f>
        <v>31</v>
      </c>
      <c r="R24" s="60">
        <f>'2.BCMU-NVMC'!R13</f>
        <v>32</v>
      </c>
      <c r="S24" s="64">
        <f>'2.BCMU-NVMC'!S13</f>
        <v>33</v>
      </c>
      <c r="T24" s="2"/>
      <c r="U24" s="2"/>
      <c r="V24" s="56" t="str">
        <f t="shared" si="0"/>
        <v>03</v>
      </c>
      <c r="W24" s="56" t="str">
        <f t="shared" si="1"/>
        <v>05</v>
      </c>
      <c r="X24" s="56" t="str">
        <f t="shared" si="2"/>
        <v>00</v>
      </c>
      <c r="Y24" s="56" t="str">
        <f t="shared" si="3"/>
        <v>64</v>
      </c>
      <c r="Z24" s="56" t="str">
        <f t="shared" si="4"/>
        <v>00</v>
      </c>
      <c r="AA24" s="56" t="str">
        <f t="shared" si="5"/>
        <v>00</v>
      </c>
      <c r="AB24" s="56" t="str">
        <f t="shared" si="6"/>
        <v>11</v>
      </c>
      <c r="AC24" s="56" t="str">
        <f t="shared" si="7"/>
        <v>00</v>
      </c>
      <c r="AD24" s="56" t="str">
        <f t="shared" si="8"/>
        <v>5F</v>
      </c>
      <c r="AE24" s="56" t="str">
        <f t="shared" si="9"/>
        <v>00</v>
      </c>
      <c r="AF24" s="56" t="str">
        <f t="shared" si="10"/>
        <v>5A</v>
      </c>
      <c r="AG24" s="56" t="str">
        <f t="shared" si="11"/>
        <v>0B</v>
      </c>
      <c r="AH24" s="56" t="str">
        <f t="shared" si="12"/>
        <v>00</v>
      </c>
      <c r="AI24" s="56" t="str">
        <f t="shared" si="13"/>
        <v>5A</v>
      </c>
      <c r="AJ24" s="56" t="str">
        <f t="shared" si="14"/>
        <v>00</v>
      </c>
      <c r="AK24" s="56" t="str">
        <f t="shared" si="15"/>
        <v>55</v>
      </c>
      <c r="AL24" s="56" t="str">
        <f t="shared" si="16"/>
        <v>01</v>
      </c>
    </row>
    <row r="25" spans="1:51" x14ac:dyDescent="0.25">
      <c r="A25" s="9">
        <f>'2.BCMU-NVMC'!A14</f>
        <v>12</v>
      </c>
      <c r="B25" s="14" t="str">
        <f>'2.BCMU-NVMC'!B14</f>
        <v>0xF021</v>
      </c>
      <c r="C25" s="61" t="str">
        <f>'2.BCMU-NVMC'!C14</f>
        <v>充电温度低</v>
      </c>
      <c r="D25" s="57">
        <f>'2.BCMU-NVMC'!D14</f>
        <v>3</v>
      </c>
      <c r="E25" s="57">
        <f>'2.BCMU-NVMC'!E14</f>
        <v>5</v>
      </c>
      <c r="F25" s="57">
        <f>'2.BCMU-NVMC'!F14</f>
        <v>42</v>
      </c>
      <c r="G25" s="57">
        <f>'2.BCMU-NVMC'!G14</f>
        <v>100</v>
      </c>
      <c r="H25" s="57">
        <f>'2.BCMU-NVMC'!H14</f>
        <v>16</v>
      </c>
      <c r="I25" s="57">
        <f>'2.BCMU-NVMC'!I14</f>
        <v>44</v>
      </c>
      <c r="J25" s="57">
        <f>'2.BCMU-NVMC'!J14</f>
        <v>46</v>
      </c>
      <c r="K25" s="57">
        <f>'2.BCMU-NVMC'!K14</f>
        <v>11</v>
      </c>
      <c r="L25" s="57">
        <f>'2.BCMU-NVMC'!L14</f>
        <v>46</v>
      </c>
      <c r="M25" s="57">
        <f>'2.BCMU-NVMC'!M14</f>
        <v>48</v>
      </c>
      <c r="N25" s="63">
        <f>'2.BCMU-NVMC'!N14</f>
        <v>10</v>
      </c>
      <c r="O25" s="65" t="str">
        <f>'2.BCMU-NVMC'!O14</f>
        <v>1℃(-40)</v>
      </c>
      <c r="P25" s="60" t="str">
        <f>'2.BCMU-NVMC'!P14</f>
        <v>≤</v>
      </c>
      <c r="Q25" s="60">
        <f>'2.BCMU-NVMC'!Q14</f>
        <v>34</v>
      </c>
      <c r="R25" s="60">
        <f>'2.BCMU-NVMC'!R14</f>
        <v>35</v>
      </c>
      <c r="S25" s="64">
        <f>'2.BCMU-NVMC'!S14</f>
        <v>36</v>
      </c>
      <c r="T25" s="2"/>
      <c r="U25" s="2"/>
      <c r="V25" s="56" t="str">
        <f t="shared" si="0"/>
        <v>03</v>
      </c>
      <c r="W25" s="56" t="str">
        <f t="shared" si="1"/>
        <v>05</v>
      </c>
      <c r="X25" s="56" t="str">
        <f t="shared" si="2"/>
        <v>00</v>
      </c>
      <c r="Y25" s="56" t="str">
        <f t="shared" si="3"/>
        <v>2A</v>
      </c>
      <c r="Z25" s="56" t="str">
        <f t="shared" si="4"/>
        <v>00</v>
      </c>
      <c r="AA25" s="56" t="str">
        <f t="shared" si="5"/>
        <v>64</v>
      </c>
      <c r="AB25" s="56" t="str">
        <f t="shared" si="6"/>
        <v>10</v>
      </c>
      <c r="AC25" s="56" t="str">
        <f t="shared" si="7"/>
        <v>00</v>
      </c>
      <c r="AD25" s="56" t="str">
        <f t="shared" si="8"/>
        <v>2C</v>
      </c>
      <c r="AE25" s="56" t="str">
        <f t="shared" si="9"/>
        <v>00</v>
      </c>
      <c r="AF25" s="56" t="str">
        <f t="shared" si="10"/>
        <v>2E</v>
      </c>
      <c r="AG25" s="56" t="str">
        <f t="shared" si="11"/>
        <v>0B</v>
      </c>
      <c r="AH25" s="56" t="str">
        <f t="shared" si="12"/>
        <v>00</v>
      </c>
      <c r="AI25" s="56" t="str">
        <f t="shared" si="13"/>
        <v>2E</v>
      </c>
      <c r="AJ25" s="56" t="str">
        <f t="shared" si="14"/>
        <v>00</v>
      </c>
      <c r="AK25" s="56" t="str">
        <f t="shared" si="15"/>
        <v>30</v>
      </c>
      <c r="AL25" s="56" t="str">
        <f t="shared" si="16"/>
        <v>0A</v>
      </c>
    </row>
    <row r="26" spans="1:51" x14ac:dyDescent="0.25">
      <c r="A26" s="9">
        <f>'2.BCMU-NVMC'!A18</f>
        <v>16</v>
      </c>
      <c r="B26" s="14" t="str">
        <f>'2.BCMU-NVMC'!B18</f>
        <v>0xF023</v>
      </c>
      <c r="C26" s="61" t="str">
        <f>'2.BCMU-NVMC'!C18</f>
        <v>SOC过低</v>
      </c>
      <c r="D26" s="57">
        <f>'2.BCMU-NVMC'!D18</f>
        <v>3</v>
      </c>
      <c r="E26" s="57">
        <f>'2.BCMU-NVMC'!E18</f>
        <v>3</v>
      </c>
      <c r="F26" s="57">
        <f>'2.BCMU-NVMC'!F18</f>
        <v>0</v>
      </c>
      <c r="G26" s="57">
        <f>'2.BCMU-NVMC'!G18</f>
        <v>5</v>
      </c>
      <c r="H26" s="57">
        <f>'2.BCMU-NVMC'!H18</f>
        <v>1</v>
      </c>
      <c r="I26" s="57">
        <f>'2.BCMU-NVMC'!I18</f>
        <v>10</v>
      </c>
      <c r="J26" s="57">
        <f>'2.BCMU-NVMC'!J18</f>
        <v>10</v>
      </c>
      <c r="K26" s="57">
        <f>'2.BCMU-NVMC'!K18</f>
        <v>1</v>
      </c>
      <c r="L26" s="57">
        <f>'2.BCMU-NVMC'!L18</f>
        <v>20</v>
      </c>
      <c r="M26" s="57">
        <f>'2.BCMU-NVMC'!M18</f>
        <v>20</v>
      </c>
      <c r="N26" s="63">
        <f>'2.BCMU-NVMC'!N18</f>
        <v>1</v>
      </c>
      <c r="O26" s="65">
        <f>'2.BCMU-NVMC'!O18</f>
        <v>0.01</v>
      </c>
      <c r="P26" s="60" t="str">
        <f>'2.BCMU-NVMC'!P18</f>
        <v>≤</v>
      </c>
      <c r="Q26" s="60">
        <f>'2.BCMU-NVMC'!Q18</f>
        <v>49</v>
      </c>
      <c r="R26" s="60">
        <f>'2.BCMU-NVMC'!R18</f>
        <v>50</v>
      </c>
      <c r="S26" s="64">
        <f>'2.BCMU-NVMC'!S18</f>
        <v>51</v>
      </c>
      <c r="T26" s="2"/>
      <c r="U26" s="2"/>
      <c r="V26" s="56" t="str">
        <f t="shared" si="0"/>
        <v>03</v>
      </c>
      <c r="W26" s="56" t="str">
        <f t="shared" si="1"/>
        <v>03</v>
      </c>
      <c r="X26" s="56" t="str">
        <f t="shared" si="2"/>
        <v>00</v>
      </c>
      <c r="Y26" s="56" t="str">
        <f t="shared" si="3"/>
        <v>00</v>
      </c>
      <c r="Z26" s="56" t="str">
        <f t="shared" si="4"/>
        <v>00</v>
      </c>
      <c r="AA26" s="56" t="str">
        <f t="shared" si="5"/>
        <v>05</v>
      </c>
      <c r="AB26" s="56" t="str">
        <f t="shared" si="6"/>
        <v>01</v>
      </c>
      <c r="AC26" s="56" t="str">
        <f t="shared" si="7"/>
        <v>00</v>
      </c>
      <c r="AD26" s="56" t="str">
        <f t="shared" si="8"/>
        <v>0A</v>
      </c>
      <c r="AE26" s="56" t="str">
        <f t="shared" si="9"/>
        <v>00</v>
      </c>
      <c r="AF26" s="56" t="str">
        <f t="shared" si="10"/>
        <v>0A</v>
      </c>
      <c r="AG26" s="56" t="str">
        <f t="shared" si="11"/>
        <v>01</v>
      </c>
      <c r="AH26" s="56" t="str">
        <f t="shared" si="12"/>
        <v>00</v>
      </c>
      <c r="AI26" s="56" t="str">
        <f t="shared" si="13"/>
        <v>14</v>
      </c>
      <c r="AJ26" s="56" t="str">
        <f t="shared" si="14"/>
        <v>00</v>
      </c>
      <c r="AK26" s="56" t="str">
        <f t="shared" si="15"/>
        <v>14</v>
      </c>
      <c r="AL26" s="56" t="str">
        <f t="shared" si="16"/>
        <v>01</v>
      </c>
    </row>
    <row r="27" spans="1:51" x14ac:dyDescent="0.25">
      <c r="A27" s="9">
        <f>'2.BCMU-NVMC'!A19</f>
        <v>17</v>
      </c>
      <c r="B27" s="14" t="str">
        <f>'2.BCMU-NVMC'!B19</f>
        <v>0xF024</v>
      </c>
      <c r="C27" s="61" t="str">
        <f>'2.BCMU-NVMC'!C19</f>
        <v>SOH过低</v>
      </c>
      <c r="D27" s="57">
        <f>'2.BCMU-NVMC'!D19</f>
        <v>3</v>
      </c>
      <c r="E27" s="57">
        <f>'2.BCMU-NVMC'!E19</f>
        <v>3</v>
      </c>
      <c r="F27" s="57">
        <f>'2.BCMU-NVMC'!F19</f>
        <v>0</v>
      </c>
      <c r="G27" s="57">
        <f>'2.BCMU-NVMC'!G19</f>
        <v>0</v>
      </c>
      <c r="H27" s="57">
        <f>'2.BCMU-NVMC'!H19</f>
        <v>0</v>
      </c>
      <c r="I27" s="57">
        <f>'2.BCMU-NVMC'!I19</f>
        <v>0</v>
      </c>
      <c r="J27" s="57">
        <f>'2.BCMU-NVMC'!J19</f>
        <v>0</v>
      </c>
      <c r="K27" s="57">
        <f>'2.BCMU-NVMC'!K19</f>
        <v>0</v>
      </c>
      <c r="L27" s="57">
        <f>'2.BCMU-NVMC'!L19</f>
        <v>70</v>
      </c>
      <c r="M27" s="57">
        <f>'2.BCMU-NVMC'!M19</f>
        <v>101</v>
      </c>
      <c r="N27" s="63">
        <f>'2.BCMU-NVMC'!N19</f>
        <v>1</v>
      </c>
      <c r="O27" s="66">
        <f>'2.BCMU-NVMC'!O19</f>
        <v>0.01</v>
      </c>
      <c r="P27" s="60" t="str">
        <f>'2.BCMU-NVMC'!P19</f>
        <v>≥</v>
      </c>
      <c r="Q27" s="60">
        <f>'2.BCMU-NVMC'!Q19</f>
        <v>52</v>
      </c>
      <c r="R27" s="60">
        <f>'2.BCMU-NVMC'!R19</f>
        <v>53</v>
      </c>
      <c r="S27" s="64">
        <f>'2.BCMU-NVMC'!S19</f>
        <v>54</v>
      </c>
      <c r="T27" s="2"/>
      <c r="U27" s="2"/>
      <c r="V27" s="56" t="str">
        <f t="shared" si="0"/>
        <v>03</v>
      </c>
      <c r="W27" s="56" t="str">
        <f t="shared" si="1"/>
        <v>03</v>
      </c>
      <c r="X27" s="56" t="str">
        <f t="shared" si="2"/>
        <v>00</v>
      </c>
      <c r="Y27" s="56" t="str">
        <f t="shared" si="3"/>
        <v>00</v>
      </c>
      <c r="Z27" s="56" t="str">
        <f t="shared" si="4"/>
        <v>00</v>
      </c>
      <c r="AA27" s="56" t="str">
        <f t="shared" si="5"/>
        <v>00</v>
      </c>
      <c r="AB27" s="56" t="str">
        <f t="shared" si="6"/>
        <v>00</v>
      </c>
      <c r="AC27" s="56" t="str">
        <f t="shared" si="7"/>
        <v>00</v>
      </c>
      <c r="AD27" s="56" t="str">
        <f t="shared" si="8"/>
        <v>00</v>
      </c>
      <c r="AE27" s="56" t="str">
        <f t="shared" si="9"/>
        <v>00</v>
      </c>
      <c r="AF27" s="56" t="str">
        <f t="shared" si="10"/>
        <v>00</v>
      </c>
      <c r="AG27" s="56" t="str">
        <f t="shared" si="11"/>
        <v>00</v>
      </c>
      <c r="AH27" s="56" t="str">
        <f t="shared" si="12"/>
        <v>00</v>
      </c>
      <c r="AI27" s="56" t="str">
        <f t="shared" si="13"/>
        <v>46</v>
      </c>
      <c r="AJ27" s="56" t="str">
        <f t="shared" si="14"/>
        <v>00</v>
      </c>
      <c r="AK27" s="56" t="str">
        <f t="shared" si="15"/>
        <v>65</v>
      </c>
      <c r="AL27" s="56" t="str">
        <f t="shared" si="16"/>
        <v>01</v>
      </c>
    </row>
    <row r="28" spans="1:51" s="2" customFormat="1" x14ac:dyDescent="0.25">
      <c r="A28" s="9" t="s">
        <v>172</v>
      </c>
      <c r="B28" s="11" t="s">
        <v>171</v>
      </c>
      <c r="C28" s="10" t="s">
        <v>84</v>
      </c>
      <c r="V28" s="10"/>
      <c r="AM28"/>
    </row>
    <row r="29" spans="1:51" s="2" customFormat="1" x14ac:dyDescent="0.25">
      <c r="C29" s="10"/>
      <c r="D29" s="7"/>
      <c r="E29" s="7"/>
      <c r="F29" s="7"/>
      <c r="G29" s="7"/>
      <c r="H29" s="7"/>
      <c r="I29" s="7"/>
      <c r="J29" s="7"/>
      <c r="K29" s="7"/>
      <c r="L29" s="7"/>
      <c r="M29" s="7"/>
      <c r="N29" s="7"/>
      <c r="V29" s="10"/>
      <c r="AM29"/>
    </row>
    <row r="30" spans="1:51" ht="14.4" x14ac:dyDescent="0.25">
      <c r="A30" s="13">
        <f>A3</f>
        <v>1</v>
      </c>
      <c r="B30" s="17" t="str">
        <f>B3</f>
        <v>0xF001</v>
      </c>
      <c r="C30" s="91" t="str">
        <f>"[0x"&amp;_xlfn.TEXTJOIN(",0x",TRUE,V3:AL3)&amp;"]"</f>
        <v>[0x03,0x02,0x0D,0xDE,0x00,0x00,0x11,0x0D,0xAC,0x0D,0x7F,0x10,0x0D,0x7F,0x0D,0x7A,0x10]</v>
      </c>
      <c r="V30" s="2"/>
      <c r="W30" s="2"/>
      <c r="X30" s="2"/>
      <c r="Y30" s="2"/>
      <c r="Z30" s="2"/>
      <c r="AA30" s="2"/>
      <c r="AB30" s="2"/>
      <c r="AC30" s="2"/>
      <c r="AD30" s="2"/>
      <c r="AE30" s="2"/>
      <c r="AF30" s="2"/>
      <c r="AG30" s="2"/>
      <c r="AH30" s="2"/>
      <c r="AI30" s="2"/>
      <c r="AJ30" s="2"/>
      <c r="AK30" s="2"/>
      <c r="AL30" s="2"/>
      <c r="AN30" s="2"/>
      <c r="AO30" s="2"/>
      <c r="AP30" s="2"/>
      <c r="AQ30" s="2"/>
      <c r="AR30" s="2"/>
      <c r="AS30" s="2"/>
      <c r="AT30" s="2"/>
      <c r="AU30" s="2"/>
      <c r="AV30" s="2"/>
      <c r="AW30" s="2"/>
      <c r="AX30" s="2"/>
      <c r="AY30" s="2"/>
    </row>
    <row r="31" spans="1:51" ht="14.4" x14ac:dyDescent="0.25">
      <c r="A31" s="13">
        <f t="shared" ref="A31:B46" si="17">A4</f>
        <v>2</v>
      </c>
      <c r="B31" s="17" t="str">
        <f t="shared" si="17"/>
        <v>0xF002</v>
      </c>
      <c r="C31" s="91" t="str">
        <f t="shared" ref="C31:C54" si="18">"[0x"&amp;_xlfn.TEXTJOIN(",0x",TRUE,V4:AL4)&amp;"]"</f>
        <v>[0x03,0x02,0x0B,0x22,0x11,0x94,0x0E,0x0B,0x54,0x0B,0x86,0x09,0x0B,0x86,0x0B,0xB8,0x09]</v>
      </c>
      <c r="V31" s="2"/>
      <c r="W31" s="2"/>
      <c r="X31" s="2"/>
      <c r="Y31" s="2"/>
      <c r="Z31" s="2"/>
      <c r="AA31" s="2"/>
      <c r="AB31" s="2"/>
      <c r="AC31" s="2"/>
      <c r="AD31" s="2"/>
      <c r="AE31" s="2"/>
      <c r="AF31" s="2"/>
      <c r="AG31" s="2"/>
      <c r="AH31" s="2"/>
      <c r="AI31" s="2"/>
      <c r="AJ31" s="2"/>
      <c r="AK31" s="2"/>
      <c r="AL31" s="2"/>
      <c r="AN31" s="2"/>
      <c r="AO31" s="2"/>
      <c r="AP31" s="2"/>
      <c r="AQ31" s="2"/>
      <c r="AR31" s="2"/>
      <c r="AS31" s="2"/>
      <c r="AT31" s="2"/>
      <c r="AU31" s="2"/>
      <c r="AV31" s="2"/>
      <c r="AW31" s="2"/>
      <c r="AX31" s="2"/>
      <c r="AY31" s="2"/>
    </row>
    <row r="32" spans="1:51" ht="14.4" x14ac:dyDescent="0.25">
      <c r="A32" s="13">
        <f t="shared" si="17"/>
        <v>3</v>
      </c>
      <c r="B32" s="17" t="str">
        <f t="shared" si="17"/>
        <v>0xF003</v>
      </c>
      <c r="C32" s="91" t="str">
        <f t="shared" si="18"/>
        <v>[0x03,0x05,0x00,0xFA,0x00,0x00,0x11,0x00,0xC8,0x00,0xC3,0x0B,0x00,0x96,0x00,0x91,0x01]</v>
      </c>
      <c r="V32" s="2"/>
      <c r="W32" s="2"/>
      <c r="X32" s="2"/>
      <c r="Y32" s="2"/>
      <c r="Z32" s="2"/>
      <c r="AA32" s="2"/>
      <c r="AB32" s="2"/>
      <c r="AC32" s="2"/>
      <c r="AD32" s="2"/>
      <c r="AE32" s="2"/>
      <c r="AF32" s="2"/>
      <c r="AG32" s="2"/>
      <c r="AH32" s="2"/>
      <c r="AI32" s="2"/>
      <c r="AJ32" s="2"/>
      <c r="AK32" s="2"/>
      <c r="AL32" s="2"/>
      <c r="AN32" s="2"/>
      <c r="AO32" s="2"/>
      <c r="AP32" s="2"/>
      <c r="AQ32" s="2"/>
      <c r="AR32" s="2"/>
      <c r="AS32" s="2"/>
      <c r="AT32" s="2"/>
      <c r="AU32" s="2"/>
      <c r="AV32" s="2"/>
      <c r="AW32" s="2"/>
      <c r="AX32" s="2"/>
      <c r="AY32" s="2"/>
    </row>
    <row r="33" spans="1:51" ht="14.4" x14ac:dyDescent="0.25">
      <c r="A33" s="13">
        <f t="shared" si="17"/>
        <v>13</v>
      </c>
      <c r="B33" s="17" t="str">
        <f t="shared" si="17"/>
        <v>0xF006</v>
      </c>
      <c r="C33" s="91" t="str">
        <f t="shared" si="18"/>
        <v>[0x03,0x05,0x00,0x64,0x00,0x00,0x11,0x00,0x5F,0x00,0x5A,0x0B,0x00,0x5A,0x00,0x55,0x01]</v>
      </c>
      <c r="V33" s="2"/>
      <c r="W33" s="2"/>
      <c r="X33" s="2"/>
      <c r="Y33" s="2"/>
      <c r="Z33" s="2"/>
      <c r="AA33" s="2"/>
      <c r="AB33" s="2"/>
      <c r="AC33" s="2"/>
      <c r="AD33" s="2"/>
      <c r="AE33" s="2"/>
      <c r="AF33" s="2"/>
      <c r="AG33" s="2"/>
      <c r="AH33" s="2"/>
      <c r="AI33" s="2"/>
      <c r="AJ33" s="2"/>
      <c r="AK33" s="2"/>
      <c r="AL33" s="2"/>
      <c r="AN33" s="2"/>
      <c r="AO33" s="2"/>
      <c r="AP33" s="2"/>
      <c r="AQ33" s="2"/>
      <c r="AR33" s="2"/>
      <c r="AS33" s="2"/>
      <c r="AT33" s="2"/>
      <c r="AU33" s="2"/>
      <c r="AV33" s="2"/>
      <c r="AW33" s="2"/>
      <c r="AX33" s="2"/>
      <c r="AY33" s="2"/>
    </row>
    <row r="34" spans="1:51" ht="14.4" x14ac:dyDescent="0.25">
      <c r="A34" s="13">
        <f t="shared" si="17"/>
        <v>14</v>
      </c>
      <c r="B34" s="17" t="str">
        <f t="shared" si="17"/>
        <v>0xF007</v>
      </c>
      <c r="C34" s="91" t="str">
        <f t="shared" si="18"/>
        <v>[0x03,0x05,0x00,0x0A,0x00,0x64,0x11,0x00,0x1C,0x00,0x1E,0x0B,0x00,0x1E,0x00,0x20,0x09]</v>
      </c>
      <c r="V34" s="2"/>
      <c r="W34" s="2"/>
      <c r="X34" s="2"/>
      <c r="Y34" s="2"/>
      <c r="Z34" s="2"/>
      <c r="AA34" s="2"/>
      <c r="AB34" s="2"/>
      <c r="AC34" s="2"/>
      <c r="AD34" s="2"/>
      <c r="AE34" s="2"/>
      <c r="AF34" s="2"/>
      <c r="AG34" s="2"/>
      <c r="AH34" s="2"/>
      <c r="AI34" s="2"/>
      <c r="AJ34" s="2"/>
      <c r="AK34" s="2"/>
      <c r="AL34" s="2"/>
      <c r="AN34" s="2"/>
      <c r="AO34" s="2"/>
      <c r="AP34" s="2"/>
      <c r="AQ34" s="2"/>
      <c r="AR34" s="2"/>
      <c r="AS34" s="2"/>
      <c r="AT34" s="2"/>
      <c r="AU34" s="2"/>
      <c r="AV34" s="2"/>
      <c r="AW34" s="2"/>
      <c r="AX34" s="2"/>
      <c r="AY34" s="2"/>
    </row>
    <row r="35" spans="1:51" ht="14.4" x14ac:dyDescent="0.25">
      <c r="A35" s="13">
        <f t="shared" si="17"/>
        <v>15</v>
      </c>
      <c r="B35" s="17" t="str">
        <f t="shared" si="17"/>
        <v>0xF008</v>
      </c>
      <c r="C35" s="91" t="str">
        <f t="shared" si="18"/>
        <v>[0x03,0x0A,0x00,0x37,0x00,0x00,0x11,0x00,0x32,0x00,0x31,0x01,0x00,0x30,0x00,0x2F,0x01]</v>
      </c>
      <c r="V35" s="2"/>
      <c r="W35" s="2"/>
      <c r="X35" s="2"/>
      <c r="Y35" s="2"/>
      <c r="Z35" s="2"/>
      <c r="AA35" s="2"/>
      <c r="AB35" s="2"/>
      <c r="AC35" s="2"/>
      <c r="AD35" s="2"/>
      <c r="AE35" s="2"/>
      <c r="AF35" s="2"/>
      <c r="AG35" s="2"/>
      <c r="AH35" s="2"/>
      <c r="AI35" s="2"/>
      <c r="AJ35" s="2"/>
      <c r="AK35" s="2"/>
      <c r="AL35" s="2"/>
      <c r="AN35" s="2"/>
      <c r="AO35" s="2"/>
      <c r="AP35" s="2"/>
      <c r="AQ35" s="2"/>
      <c r="AR35" s="2"/>
      <c r="AS35" s="2"/>
      <c r="AT35" s="2"/>
      <c r="AU35" s="2"/>
      <c r="AV35" s="2"/>
      <c r="AW35" s="2"/>
      <c r="AX35" s="2"/>
      <c r="AY35" s="2"/>
    </row>
    <row r="36" spans="1:51" ht="14.4" x14ac:dyDescent="0.25">
      <c r="A36" s="13">
        <f t="shared" si="17"/>
        <v>6</v>
      </c>
      <c r="B36" s="17" t="str">
        <f t="shared" si="17"/>
        <v>0xF00B</v>
      </c>
      <c r="C36" s="91" t="str">
        <f t="shared" si="18"/>
        <v>[0x03,0x02,0x02,0x7F,0x00,0x00,0x11,0x02,0x76,0x02,0x6D,0x10,0x02,0x6D,0x02,0x6D,0x10]</v>
      </c>
      <c r="V36" s="2"/>
      <c r="W36" s="2"/>
      <c r="X36" s="2"/>
      <c r="Y36" s="2"/>
      <c r="Z36" s="2"/>
      <c r="AA36" s="2"/>
      <c r="AB36" s="2"/>
      <c r="AC36" s="2"/>
      <c r="AD36" s="2"/>
      <c r="AE36" s="2"/>
      <c r="AF36" s="2"/>
      <c r="AG36" s="2"/>
      <c r="AH36" s="2"/>
      <c r="AI36" s="2"/>
      <c r="AJ36" s="2"/>
      <c r="AK36" s="2"/>
      <c r="AL36" s="2"/>
      <c r="AN36" s="2"/>
      <c r="AO36" s="2"/>
      <c r="AP36" s="2"/>
      <c r="AQ36" s="2"/>
      <c r="AR36" s="2"/>
      <c r="AS36" s="2"/>
      <c r="AT36" s="2"/>
      <c r="AU36" s="2"/>
      <c r="AV36" s="2"/>
      <c r="AW36" s="2"/>
      <c r="AX36" s="2"/>
      <c r="AY36" s="2"/>
    </row>
    <row r="37" spans="1:51" ht="14.4" x14ac:dyDescent="0.25">
      <c r="A37" s="13">
        <f t="shared" si="17"/>
        <v>7</v>
      </c>
      <c r="B37" s="17" t="str">
        <f t="shared" si="17"/>
        <v>0xF00C</v>
      </c>
      <c r="C37" s="91" t="str">
        <f t="shared" si="18"/>
        <v>[0x03,0x02,0x02,0x01,0x03,0x2A,0x0E,0x02,0x0A,0x02,0x13,0x0E,0x02,0x13,0x02,0x1C,0x09]</v>
      </c>
      <c r="V37" s="2"/>
      <c r="W37" s="2"/>
      <c r="X37" s="2"/>
      <c r="Y37" s="2"/>
      <c r="Z37" s="2"/>
      <c r="AA37" s="2"/>
      <c r="AB37" s="2"/>
      <c r="AC37" s="2"/>
      <c r="AD37" s="2"/>
      <c r="AE37" s="2"/>
      <c r="AF37" s="2"/>
      <c r="AG37" s="2"/>
      <c r="AH37" s="2"/>
      <c r="AI37" s="2"/>
      <c r="AJ37" s="2"/>
      <c r="AK37" s="2"/>
      <c r="AL37" s="2"/>
      <c r="AN37" s="2"/>
      <c r="AO37" s="2"/>
      <c r="AP37" s="2"/>
      <c r="AQ37" s="2"/>
      <c r="AR37" s="2"/>
      <c r="AS37" s="2"/>
      <c r="AT37" s="2"/>
      <c r="AU37" s="2"/>
      <c r="AV37" s="2"/>
      <c r="AW37" s="2"/>
      <c r="AX37" s="2"/>
      <c r="AY37" s="2"/>
    </row>
    <row r="38" spans="1:51" ht="14.4" x14ac:dyDescent="0.25">
      <c r="A38" s="13">
        <f t="shared" si="17"/>
        <v>8</v>
      </c>
      <c r="B38" s="17" t="str">
        <f t="shared" si="17"/>
        <v>0xF00E</v>
      </c>
      <c r="C38" s="91" t="str">
        <f t="shared" si="18"/>
        <v>[0x03,0x05,0x75,0xC6,0x75,0x30,0x11,0x75,0x94,0x75,0x30,0x09,0x75,0x62,0x75,0x30,0x01]</v>
      </c>
      <c r="V38" s="2"/>
      <c r="W38" s="2"/>
      <c r="X38" s="2"/>
      <c r="Y38" s="2"/>
      <c r="Z38" s="2"/>
      <c r="AA38" s="2"/>
      <c r="AB38" s="2"/>
      <c r="AC38" s="2"/>
      <c r="AD38" s="2"/>
      <c r="AE38" s="2"/>
      <c r="AF38" s="2"/>
      <c r="AG38" s="2"/>
      <c r="AH38" s="2"/>
      <c r="AI38" s="2"/>
      <c r="AJ38" s="2"/>
      <c r="AK38" s="2"/>
      <c r="AL38" s="2"/>
      <c r="AN38" s="2"/>
      <c r="AO38" s="2"/>
      <c r="AP38" s="2"/>
      <c r="AQ38" s="2"/>
      <c r="AR38" s="2"/>
      <c r="AS38" s="2"/>
      <c r="AT38" s="2"/>
      <c r="AU38" s="2"/>
      <c r="AV38" s="2"/>
      <c r="AW38" s="2"/>
      <c r="AX38" s="2"/>
      <c r="AY38" s="2"/>
    </row>
    <row r="39" spans="1:51" ht="14.4" x14ac:dyDescent="0.25">
      <c r="A39" s="13">
        <f t="shared" si="17"/>
        <v>9</v>
      </c>
      <c r="B39" s="17" t="str">
        <f t="shared" si="17"/>
        <v>0xF00F</v>
      </c>
      <c r="C39" s="91" t="str">
        <f t="shared" si="18"/>
        <v>[0x03,0x05,0x75,0xC6,0x75,0x30,0x11,0x75,0x94,0x75,0x30,0x0A,0x75,0x62,0x75,0x30,0x01]</v>
      </c>
      <c r="V39" s="2"/>
      <c r="W39" s="2"/>
      <c r="X39" s="2"/>
      <c r="Y39" s="2"/>
      <c r="Z39" s="2"/>
      <c r="AA39" s="2"/>
      <c r="AB39" s="2"/>
      <c r="AC39" s="2"/>
      <c r="AD39" s="2"/>
      <c r="AE39" s="2"/>
      <c r="AF39" s="2"/>
      <c r="AG39" s="2"/>
      <c r="AH39" s="2"/>
      <c r="AI39" s="2"/>
      <c r="AJ39" s="2"/>
      <c r="AK39" s="2"/>
      <c r="AL39" s="2"/>
      <c r="AN39" s="2"/>
      <c r="AO39" s="2"/>
      <c r="AP39" s="2"/>
      <c r="AQ39" s="2"/>
      <c r="AR39" s="2"/>
      <c r="AS39" s="2"/>
      <c r="AT39" s="2"/>
      <c r="AU39" s="2"/>
      <c r="AV39" s="2"/>
      <c r="AW39" s="2"/>
      <c r="AX39" s="2"/>
      <c r="AY39" s="2"/>
    </row>
    <row r="40" spans="1:51" ht="14.4" x14ac:dyDescent="0.25">
      <c r="A40" s="13">
        <f t="shared" si="17"/>
        <v>20</v>
      </c>
      <c r="B40" s="17" t="str">
        <f t="shared" si="17"/>
        <v>0xF010</v>
      </c>
      <c r="C40" s="91" t="str">
        <f t="shared" si="18"/>
        <v>[0x02,0x05,0x00,0x64,0x00,0x00,0x11,0x00,0x5F,0x00,0x55,0x0A,0x00,0x55,0x00,0x52,0x01]</v>
      </c>
      <c r="V40" s="2"/>
      <c r="W40" s="2"/>
      <c r="X40" s="2"/>
      <c r="Y40" s="2"/>
      <c r="Z40" s="2"/>
      <c r="AA40" s="2"/>
      <c r="AB40" s="2"/>
      <c r="AC40" s="2"/>
      <c r="AD40" s="2"/>
      <c r="AE40" s="2"/>
      <c r="AF40" s="2"/>
      <c r="AG40" s="2"/>
      <c r="AH40" s="2"/>
      <c r="AI40" s="2"/>
      <c r="AJ40" s="2"/>
      <c r="AK40" s="2"/>
      <c r="AL40" s="2"/>
      <c r="AN40" s="2"/>
      <c r="AO40" s="2"/>
      <c r="AP40" s="2"/>
      <c r="AQ40" s="2"/>
      <c r="AR40" s="2"/>
      <c r="AS40" s="2"/>
      <c r="AT40" s="2"/>
      <c r="AU40" s="2"/>
      <c r="AV40" s="2"/>
      <c r="AW40" s="2"/>
      <c r="AX40" s="2"/>
      <c r="AY40" s="2"/>
    </row>
    <row r="41" spans="1:51" ht="14.4" x14ac:dyDescent="0.25">
      <c r="A41" s="13">
        <f t="shared" si="17"/>
        <v>21</v>
      </c>
      <c r="B41" s="17" t="str">
        <f t="shared" si="17"/>
        <v>0xF011</v>
      </c>
      <c r="C41" s="91" t="str">
        <f t="shared" si="18"/>
        <v>[0x02,0x05,0x00,0x0A,0x00,0x1E,0x11,0x00,0x1E,0x00,0x23,0x0B,0x00,0x00,0x00,0x00,0x00]</v>
      </c>
      <c r="V41" s="2"/>
      <c r="W41" s="2"/>
      <c r="X41" s="2"/>
      <c r="Y41" s="2"/>
      <c r="Z41" s="2"/>
      <c r="AA41" s="2"/>
      <c r="AB41" s="2"/>
      <c r="AC41" s="2"/>
      <c r="AD41" s="2"/>
      <c r="AE41" s="2"/>
      <c r="AF41" s="2"/>
      <c r="AG41" s="2"/>
      <c r="AH41" s="2"/>
      <c r="AI41" s="2"/>
      <c r="AJ41" s="2"/>
      <c r="AK41" s="2"/>
      <c r="AL41" s="2"/>
      <c r="AN41" s="2"/>
      <c r="AO41" s="2"/>
      <c r="AP41" s="2"/>
      <c r="AQ41" s="2"/>
      <c r="AR41" s="2"/>
      <c r="AS41" s="2"/>
      <c r="AT41" s="2"/>
      <c r="AU41" s="2"/>
      <c r="AV41" s="2"/>
      <c r="AW41" s="2"/>
      <c r="AX41" s="2"/>
      <c r="AY41" s="2"/>
    </row>
    <row r="42" spans="1:51" ht="14.4" x14ac:dyDescent="0.25">
      <c r="A42" s="13">
        <f t="shared" si="17"/>
        <v>18</v>
      </c>
      <c r="B42" s="17" t="str">
        <f t="shared" si="17"/>
        <v>0xF012</v>
      </c>
      <c r="C42" s="91" t="str">
        <f t="shared" si="18"/>
        <v>[0x01,0x03,0x01,0x40,0x01,0x04,0x11,0x01,0xF4,0x01,0xF4,0x00,0x01,0xF4,0x01,0xF4,0x00]</v>
      </c>
      <c r="V42" s="2"/>
      <c r="W42" s="2"/>
      <c r="X42" s="2"/>
      <c r="Y42" s="2"/>
      <c r="Z42" s="2"/>
      <c r="AA42" s="2"/>
      <c r="AB42" s="2"/>
      <c r="AC42" s="2"/>
      <c r="AD42" s="2"/>
      <c r="AE42" s="2"/>
      <c r="AF42" s="2"/>
      <c r="AG42" s="2"/>
      <c r="AH42" s="2"/>
      <c r="AI42" s="2"/>
      <c r="AJ42" s="2"/>
      <c r="AK42" s="2"/>
      <c r="AL42" s="2"/>
      <c r="AN42" s="2"/>
      <c r="AO42" s="2"/>
      <c r="AP42" s="2"/>
      <c r="AQ42" s="2"/>
      <c r="AR42" s="2"/>
      <c r="AS42" s="2"/>
      <c r="AT42" s="2"/>
      <c r="AU42" s="2"/>
      <c r="AV42" s="2"/>
      <c r="AW42" s="2"/>
      <c r="AX42" s="2"/>
      <c r="AY42" s="2"/>
    </row>
    <row r="43" spans="1:51" ht="14.4" x14ac:dyDescent="0.25">
      <c r="A43" s="13">
        <f t="shared" si="17"/>
        <v>19</v>
      </c>
      <c r="B43" s="17" t="str">
        <f t="shared" si="17"/>
        <v>0xF013</v>
      </c>
      <c r="C43" s="91" t="str">
        <f t="shared" si="18"/>
        <v>[0x01,0x03,0x00,0x5A,0x00,0x78,0x11,0x00,0x00,0x00,0x00,0x00,0x00,0x00,0x00,0x00,0x00]</v>
      </c>
      <c r="V43" s="2"/>
      <c r="W43" s="2"/>
      <c r="X43" s="2"/>
      <c r="Y43" s="2"/>
      <c r="Z43" s="2"/>
      <c r="AA43" s="2"/>
      <c r="AB43" s="2"/>
      <c r="AC43" s="2"/>
      <c r="AD43" s="2"/>
      <c r="AE43" s="2"/>
      <c r="AF43" s="2"/>
      <c r="AG43" s="2"/>
      <c r="AH43" s="2"/>
      <c r="AI43" s="2"/>
      <c r="AJ43" s="2"/>
      <c r="AK43" s="2"/>
      <c r="AL43" s="2"/>
      <c r="AN43" s="2"/>
      <c r="AO43" s="2"/>
      <c r="AP43" s="2"/>
      <c r="AQ43" s="2"/>
      <c r="AR43" s="2"/>
      <c r="AS43" s="2"/>
      <c r="AT43" s="2"/>
      <c r="AU43" s="2"/>
      <c r="AV43" s="2"/>
      <c r="AW43" s="2"/>
      <c r="AX43" s="2"/>
      <c r="AY43" s="2"/>
    </row>
    <row r="44" spans="1:51" ht="14.4" x14ac:dyDescent="0.25">
      <c r="A44" s="13">
        <f t="shared" si="17"/>
        <v>10</v>
      </c>
      <c r="B44" s="17" t="str">
        <f t="shared" si="17"/>
        <v>0xF014</v>
      </c>
      <c r="C44" s="91" t="str">
        <f t="shared" si="18"/>
        <v>[0x03,0x14,0x02,0x58,0x03,0x20,0x11,0x03,0x20,0x03,0xE8,0x0B,0x03,0xE8,0x04,0xB0,0x01]</v>
      </c>
      <c r="V44" s="2"/>
      <c r="W44" s="2"/>
      <c r="X44" s="2"/>
      <c r="Y44" s="2"/>
      <c r="Z44" s="2"/>
      <c r="AA44" s="2"/>
      <c r="AB44" s="2"/>
      <c r="AC44" s="2"/>
      <c r="AD44" s="2"/>
      <c r="AE44" s="2"/>
      <c r="AF44" s="2"/>
      <c r="AG44" s="2"/>
      <c r="AH44" s="2"/>
      <c r="AI44" s="2"/>
      <c r="AJ44" s="2"/>
      <c r="AK44" s="2"/>
      <c r="AL44" s="2"/>
      <c r="AN44" s="2"/>
      <c r="AO44" s="2"/>
      <c r="AP44" s="2"/>
      <c r="AQ44" s="2"/>
      <c r="AR44" s="2"/>
      <c r="AS44" s="2"/>
      <c r="AT44" s="2"/>
      <c r="AU44" s="2"/>
      <c r="AV44" s="2"/>
      <c r="AW44" s="2"/>
      <c r="AX44" s="2"/>
      <c r="AY44" s="2"/>
    </row>
    <row r="45" spans="1:51" ht="14.4" x14ac:dyDescent="0.25">
      <c r="A45" s="13">
        <f t="shared" si="17"/>
        <v>22</v>
      </c>
      <c r="B45" s="17" t="str">
        <f t="shared" si="17"/>
        <v>0xF019</v>
      </c>
      <c r="C45" s="91" t="str">
        <f t="shared" si="18"/>
        <v>[0x01,0x05,0x00,0x69,0x00,0x00,0x11,0x00,0x00,0x00,0x00,0x00,0x00,0x00,0x00,0x00,0x00]</v>
      </c>
      <c r="V45" s="2"/>
      <c r="W45" s="2"/>
      <c r="X45" s="2"/>
      <c r="Y45" s="2"/>
      <c r="Z45" s="2"/>
      <c r="AA45" s="2"/>
      <c r="AB45" s="2"/>
      <c r="AC45" s="2"/>
      <c r="AD45" s="2"/>
      <c r="AE45" s="2"/>
      <c r="AF45" s="2"/>
      <c r="AG45" s="2"/>
      <c r="AH45" s="2"/>
      <c r="AI45" s="2"/>
      <c r="AJ45" s="2"/>
      <c r="AK45" s="2"/>
      <c r="AL45" s="2"/>
      <c r="AN45" s="2"/>
      <c r="AO45" s="2"/>
      <c r="AP45" s="2"/>
      <c r="AQ45" s="2"/>
      <c r="AR45" s="2"/>
      <c r="AS45" s="2"/>
      <c r="AT45" s="2"/>
      <c r="AU45" s="2"/>
      <c r="AV45" s="2"/>
      <c r="AW45" s="2"/>
      <c r="AX45" s="2"/>
      <c r="AY45" s="2"/>
    </row>
    <row r="46" spans="1:51" ht="14.4" x14ac:dyDescent="0.25">
      <c r="A46" s="13">
        <f t="shared" si="17"/>
        <v>23</v>
      </c>
      <c r="B46" s="17" t="str">
        <f t="shared" si="17"/>
        <v>0xF01A</v>
      </c>
      <c r="C46" s="91" t="str">
        <f t="shared" si="18"/>
        <v>[0x01,0x05,0x00,0x69,0x00,0x00,0x11,0x00,0x00,0x00,0x00,0x00,0x00,0x00,0x00,0x00,0x00]</v>
      </c>
      <c r="V46" s="2"/>
      <c r="W46" s="2"/>
      <c r="X46" s="2"/>
      <c r="Y46" s="2"/>
      <c r="Z46" s="2"/>
      <c r="AA46" s="2"/>
      <c r="AB46" s="2"/>
      <c r="AC46" s="2"/>
      <c r="AD46" s="2"/>
      <c r="AE46" s="2"/>
      <c r="AF46" s="2"/>
      <c r="AG46" s="2"/>
      <c r="AH46" s="2"/>
      <c r="AI46" s="2"/>
      <c r="AJ46" s="2"/>
      <c r="AK46" s="2"/>
      <c r="AL46" s="2"/>
      <c r="AN46" s="2"/>
      <c r="AO46" s="2"/>
      <c r="AP46" s="2"/>
      <c r="AQ46" s="2"/>
      <c r="AR46" s="2"/>
      <c r="AS46" s="2"/>
      <c r="AT46" s="2"/>
      <c r="AU46" s="2"/>
      <c r="AV46" s="2"/>
      <c r="AW46" s="2"/>
      <c r="AX46" s="2"/>
      <c r="AY46" s="2" t="s">
        <v>83</v>
      </c>
    </row>
    <row r="47" spans="1:51" ht="14.4" x14ac:dyDescent="0.25">
      <c r="A47" s="13">
        <f t="shared" ref="A47:B54" si="19">A20</f>
        <v>24</v>
      </c>
      <c r="B47" s="17" t="str">
        <f t="shared" si="19"/>
        <v>0xF01B</v>
      </c>
      <c r="C47" s="91" t="str">
        <f>"[0x"&amp;_xlfn.TEXTJOIN(",0x",TRUE,V20:AL20)&amp;"]"</f>
        <v>[0x03,0x03,0x00,0xC8,0x00,0xC8,0x00,0x00,0x8C,0x00,0x00,0x11,0x00,0x87,0x00,0x82,0x0A]</v>
      </c>
      <c r="V47" s="2"/>
      <c r="W47" s="2"/>
      <c r="X47" s="2"/>
      <c r="Y47" s="2"/>
      <c r="Z47" s="2"/>
      <c r="AA47" s="2"/>
      <c r="AB47" s="2"/>
      <c r="AC47" s="2"/>
      <c r="AD47" s="2"/>
      <c r="AE47" s="2"/>
      <c r="AF47" s="2"/>
      <c r="AG47" s="2"/>
      <c r="AH47" s="2"/>
      <c r="AI47" s="2"/>
      <c r="AJ47" s="2"/>
      <c r="AK47" s="2"/>
      <c r="AL47" s="2"/>
      <c r="AN47" s="2"/>
      <c r="AO47" s="2"/>
      <c r="AP47" s="2"/>
      <c r="AQ47" s="2"/>
      <c r="AR47" s="2"/>
      <c r="AS47" s="2"/>
      <c r="AT47" s="2"/>
      <c r="AU47" s="2"/>
      <c r="AV47" s="2"/>
      <c r="AW47" s="2"/>
      <c r="AX47" s="2"/>
      <c r="AY47" s="2"/>
    </row>
    <row r="48" spans="1:51" ht="14.4" x14ac:dyDescent="0.25">
      <c r="A48" s="13">
        <f t="shared" si="19"/>
        <v>25</v>
      </c>
      <c r="B48" s="17" t="str">
        <f t="shared" si="19"/>
        <v>0xF01C</v>
      </c>
      <c r="C48" s="91" t="str">
        <f t="shared" si="18"/>
        <v>[0x01,0x03,0x00,0x64,0x00,0x00,0x11,0x00,0x00,0x00,0x00,0x00,0x00,0x00,0x00,0x00,0x00]</v>
      </c>
      <c r="V48" s="2"/>
      <c r="W48" s="2"/>
      <c r="X48" s="2"/>
      <c r="Y48" s="2"/>
      <c r="Z48" s="2"/>
      <c r="AA48" s="2"/>
      <c r="AB48" s="2"/>
      <c r="AC48" s="2"/>
      <c r="AD48" s="2"/>
      <c r="AE48" s="2"/>
      <c r="AF48" s="2"/>
      <c r="AG48" s="2"/>
      <c r="AH48" s="2"/>
      <c r="AI48" s="2"/>
      <c r="AJ48" s="2"/>
      <c r="AK48" s="2"/>
      <c r="AL48" s="2"/>
      <c r="AN48" s="2"/>
      <c r="AO48" s="2"/>
      <c r="AP48" s="2"/>
      <c r="AQ48" s="2"/>
      <c r="AR48" s="2"/>
      <c r="AS48" s="2"/>
      <c r="AT48" s="2"/>
      <c r="AU48" s="2"/>
      <c r="AV48" s="2"/>
      <c r="AW48" s="2"/>
      <c r="AX48" s="2"/>
      <c r="AY48" s="2"/>
    </row>
    <row r="49" spans="1:51" ht="14.4" x14ac:dyDescent="0.25">
      <c r="A49" s="13">
        <f t="shared" si="19"/>
        <v>4</v>
      </c>
      <c r="B49" s="17" t="str">
        <f t="shared" si="19"/>
        <v>0xF01E</v>
      </c>
      <c r="C49" s="91" t="str">
        <f t="shared" si="18"/>
        <v>[0x03,0x02,0x02,0x7F,0x00,0x00,0x11,0x02,0x76,0x02,0x6D,0x10,0x02,0x6D,0x02,0x6D,0x10]</v>
      </c>
      <c r="V49" s="2"/>
      <c r="W49" s="2"/>
      <c r="X49" s="2"/>
      <c r="Y49" s="2"/>
      <c r="Z49" s="2"/>
      <c r="AA49" s="2"/>
      <c r="AB49" s="2"/>
      <c r="AC49" s="2"/>
      <c r="AD49" s="2"/>
      <c r="AE49" s="2"/>
      <c r="AF49" s="2"/>
      <c r="AG49" s="2"/>
      <c r="AH49" s="2"/>
      <c r="AI49" s="2"/>
      <c r="AJ49" s="2"/>
      <c r="AK49" s="2"/>
      <c r="AL49" s="2"/>
      <c r="AN49" s="2"/>
      <c r="AO49" s="2"/>
      <c r="AP49" s="2"/>
      <c r="AQ49" s="2"/>
      <c r="AR49" s="2"/>
      <c r="AS49" s="2"/>
      <c r="AT49" s="2"/>
      <c r="AU49" s="2"/>
      <c r="AV49" s="2"/>
      <c r="AW49" s="2"/>
      <c r="AX49" s="2"/>
      <c r="AY49" s="2"/>
    </row>
    <row r="50" spans="1:51" ht="14.4" x14ac:dyDescent="0.25">
      <c r="A50" s="13">
        <f t="shared" si="19"/>
        <v>5</v>
      </c>
      <c r="B50" s="17" t="str">
        <f t="shared" si="19"/>
        <v>0xF01F</v>
      </c>
      <c r="C50" s="91" t="str">
        <f t="shared" si="18"/>
        <v>[0x03,0x02,0x02,0x01,0x03,0x2A,0x0E,0x02,0x0A,0x02,0x13,0x0E,0x02,0x13,0x02,0x1C,0x09]</v>
      </c>
      <c r="V50" s="2"/>
      <c r="W50" s="2"/>
      <c r="X50" s="2"/>
      <c r="Y50" s="2"/>
      <c r="Z50" s="2"/>
      <c r="AA50" s="2"/>
      <c r="AB50" s="2"/>
      <c r="AC50" s="2"/>
      <c r="AD50" s="2"/>
      <c r="AE50" s="2"/>
      <c r="AF50" s="2"/>
      <c r="AG50" s="2"/>
      <c r="AH50" s="2"/>
      <c r="AI50" s="2"/>
      <c r="AJ50" s="2"/>
      <c r="AK50" s="2"/>
      <c r="AL50" s="2"/>
      <c r="AN50" s="2"/>
      <c r="AO50" s="2"/>
      <c r="AP50" s="2"/>
      <c r="AQ50" s="2"/>
      <c r="AR50" s="2"/>
      <c r="AS50" s="2"/>
      <c r="AT50" s="2"/>
      <c r="AU50" s="2"/>
      <c r="AV50" s="2"/>
      <c r="AW50" s="2"/>
      <c r="AX50" s="2"/>
      <c r="AY50" s="2"/>
    </row>
    <row r="51" spans="1:51" ht="14.4" x14ac:dyDescent="0.25">
      <c r="A51" s="13">
        <f t="shared" si="19"/>
        <v>11</v>
      </c>
      <c r="B51" s="17" t="str">
        <f t="shared" si="19"/>
        <v>0xF020</v>
      </c>
      <c r="C51" s="91" t="str">
        <f t="shared" si="18"/>
        <v>[0x03,0x05,0x00,0x64,0x00,0x00,0x11,0x00,0x5F,0x00,0x5A,0x0B,0x00,0x5A,0x00,0x55,0x01]</v>
      </c>
      <c r="V51" s="2"/>
      <c r="W51" s="2"/>
      <c r="X51" s="2"/>
      <c r="Y51" s="2"/>
      <c r="Z51" s="2"/>
      <c r="AA51" s="2"/>
      <c r="AB51" s="2"/>
      <c r="AC51" s="2"/>
      <c r="AD51" s="2"/>
      <c r="AE51" s="2"/>
      <c r="AF51" s="2"/>
      <c r="AG51" s="2"/>
      <c r="AH51" s="2"/>
      <c r="AI51" s="2"/>
      <c r="AJ51" s="2"/>
      <c r="AK51" s="2"/>
      <c r="AL51" s="2"/>
      <c r="AN51" s="2"/>
      <c r="AO51" s="2"/>
      <c r="AP51" s="2"/>
      <c r="AQ51" s="2"/>
      <c r="AR51" s="2"/>
      <c r="AS51" s="2"/>
      <c r="AT51" s="2"/>
      <c r="AU51" s="2"/>
      <c r="AV51" s="2"/>
      <c r="AW51" s="2"/>
      <c r="AX51" s="2"/>
      <c r="AY51" s="2"/>
    </row>
    <row r="52" spans="1:51" ht="14.4" x14ac:dyDescent="0.25">
      <c r="A52" s="13">
        <f t="shared" si="19"/>
        <v>12</v>
      </c>
      <c r="B52" s="17" t="str">
        <f t="shared" si="19"/>
        <v>0xF021</v>
      </c>
      <c r="C52" s="91" t="str">
        <f t="shared" si="18"/>
        <v>[0x03,0x05,0x00,0x2A,0x00,0x64,0x10,0x00,0x2C,0x00,0x2E,0x0B,0x00,0x2E,0x00,0x30,0x0A]</v>
      </c>
      <c r="V52" s="2"/>
      <c r="W52" s="2"/>
      <c r="X52" s="2"/>
      <c r="Y52" s="2"/>
      <c r="Z52" s="2"/>
      <c r="AA52" s="2"/>
      <c r="AB52" s="2"/>
      <c r="AC52" s="2"/>
      <c r="AD52" s="2"/>
      <c r="AE52" s="2"/>
      <c r="AF52" s="2"/>
      <c r="AG52" s="2"/>
      <c r="AH52" s="2"/>
      <c r="AI52" s="2"/>
      <c r="AJ52" s="2"/>
      <c r="AK52" s="2"/>
      <c r="AL52" s="2"/>
      <c r="AN52" s="2"/>
      <c r="AO52" s="2"/>
      <c r="AP52" s="2"/>
      <c r="AQ52" s="2"/>
      <c r="AR52" s="2"/>
      <c r="AS52" s="2"/>
      <c r="AT52" s="2"/>
      <c r="AU52" s="2"/>
      <c r="AV52" s="2"/>
      <c r="AW52" s="2"/>
      <c r="AX52" s="2"/>
      <c r="AY52" s="2"/>
    </row>
    <row r="53" spans="1:51" ht="14.4" x14ac:dyDescent="0.25">
      <c r="A53" s="13">
        <f t="shared" si="19"/>
        <v>16</v>
      </c>
      <c r="B53" s="17" t="str">
        <f t="shared" si="19"/>
        <v>0xF023</v>
      </c>
      <c r="C53" s="91" t="str">
        <f t="shared" si="18"/>
        <v>[0x03,0x03,0x00,0x00,0x00,0x05,0x01,0x00,0x0A,0x00,0x0A,0x01,0x00,0x14,0x00,0x14,0x01]</v>
      </c>
      <c r="V53" s="2"/>
      <c r="W53" s="2"/>
      <c r="X53" s="2"/>
      <c r="Y53" s="2"/>
      <c r="Z53" s="2"/>
      <c r="AA53" s="2"/>
      <c r="AB53" s="2"/>
      <c r="AC53" s="2"/>
      <c r="AD53" s="2"/>
      <c r="AE53" s="2"/>
      <c r="AF53" s="2"/>
      <c r="AG53" s="2"/>
      <c r="AH53" s="2"/>
      <c r="AI53" s="2"/>
      <c r="AJ53" s="2"/>
      <c r="AK53" s="2"/>
      <c r="AL53" s="2"/>
      <c r="AN53" s="2"/>
      <c r="AO53" s="2"/>
      <c r="AP53" s="2"/>
      <c r="AQ53" s="2"/>
      <c r="AR53" s="2"/>
      <c r="AS53" s="2"/>
      <c r="AT53" s="2"/>
      <c r="AU53" s="2"/>
      <c r="AV53" s="2"/>
      <c r="AW53" s="2"/>
      <c r="AX53" s="2"/>
      <c r="AY53" s="2"/>
    </row>
    <row r="54" spans="1:51" ht="14.4" x14ac:dyDescent="0.25">
      <c r="A54" s="13">
        <f t="shared" si="19"/>
        <v>17</v>
      </c>
      <c r="B54" s="17" t="str">
        <f t="shared" si="19"/>
        <v>0xF024</v>
      </c>
      <c r="C54" s="91" t="str">
        <f t="shared" si="18"/>
        <v>[0x03,0x03,0x00,0x00,0x00,0x00,0x00,0x00,0x00,0x00,0x00,0x00,0x00,0x46,0x00,0x65,0x01]</v>
      </c>
      <c r="V54" s="2"/>
      <c r="W54" s="2"/>
      <c r="X54" s="2"/>
      <c r="Y54" s="2"/>
      <c r="Z54" s="2"/>
      <c r="AA54" s="2"/>
      <c r="AB54" s="2"/>
      <c r="AC54" s="2"/>
      <c r="AD54" s="2"/>
      <c r="AE54" s="2"/>
      <c r="AF54" s="2"/>
      <c r="AG54" s="2"/>
      <c r="AH54" s="2"/>
      <c r="AI54" s="2"/>
      <c r="AJ54" s="2"/>
      <c r="AK54" s="2"/>
      <c r="AL54" s="2"/>
      <c r="AN54" s="2"/>
      <c r="AO54" s="2"/>
      <c r="AP54" s="2"/>
      <c r="AQ54" s="2"/>
      <c r="AR54" s="2"/>
      <c r="AS54" s="2"/>
      <c r="AT54" s="2"/>
      <c r="AU54" s="2"/>
      <c r="AV54" s="2"/>
      <c r="AW54" s="2"/>
      <c r="AX54" s="2"/>
      <c r="AY54" s="2"/>
    </row>
    <row r="55" spans="1:51" ht="14.4" x14ac:dyDescent="0.25">
      <c r="C55" s="92" t="str">
        <f>"["&amp;_xlfn.TEXTJOIN(";",TRUE,C30:C54)&amp;"]"</f>
        <v>[[0x03,0x02,0x0D,0xDE,0x00,0x00,0x11,0x0D,0xAC,0x0D,0x7F,0x10,0x0D,0x7F,0x0D,0x7A,0x10];[0x03,0x02,0x0B,0x22,0x11,0x94,0x0E,0x0B,0x54,0x0B,0x86,0x09,0x0B,0x86,0x0B,0xB8,0x09];[0x03,0x05,0x00,0xFA,0x00,0x00,0x11,0x00,0xC8,0x00,0xC3,0x0B,0x00,0x96,0x00,0x91,0x01];[0x03,0x05,0x00,0x64,0x00,0x00,0x11,0x00,0x5F,0x00,0x5A,0x0B,0x00,0x5A,0x00,0x55,0x01];[0x03,0x05,0x00,0x0A,0x00,0x64,0x11,0x00,0x1C,0x00,0x1E,0x0B,0x00,0x1E,0x00,0x20,0x09];[0x03,0x0A,0x00,0x37,0x00,0x00,0x11,0x00,0x32,0x00,0x31,0x01,0x00,0x30,0x00,0x2F,0x01];[0x03,0x02,0x02,0x7F,0x00,0x00,0x11,0x02,0x76,0x02,0x6D,0x10,0x02,0x6D,0x02,0x6D,0x10];[0x03,0x02,0x02,0x01,0x03,0x2A,0x0E,0x02,0x0A,0x02,0x13,0x0E,0x02,0x13,0x02,0x1C,0x09];[0x03,0x05,0x75,0xC6,0x75,0x30,0x11,0x75,0x94,0x75,0x30,0x09,0x75,0x62,0x75,0x30,0x01];[0x03,0x05,0x75,0xC6,0x75,0x30,0x11,0x75,0x94,0x75,0x30,0x0A,0x75,0x62,0x75,0x30,0x01];[0x02,0x05,0x00,0x64,0x00,0x00,0x11,0x00,0x5F,0x00,0x55,0x0A,0x00,0x55,0x00,0x52,0x01];[0x02,0x05,0x00,0x0A,0x00,0x1E,0x11,0x00,0x1E,0x00,0x23,0x0B,0x00,0x00,0x00,0x00,0x00];[0x01,0x03,0x01,0x40,0x01,0x04,0x11,0x01,0xF4,0x01,0xF4,0x00,0x01,0xF4,0x01,0xF4,0x00];[0x01,0x03,0x00,0x5A,0x00,0x78,0x11,0x00,0x00,0x00,0x00,0x00,0x00,0x00,0x00,0x00,0x00];[0x03,0x14,0x02,0x58,0x03,0x20,0x11,0x03,0x20,0x03,0xE8,0x0B,0x03,0xE8,0x04,0xB0,0x01];[0x01,0x05,0x00,0x69,0x00,0x00,0x11,0x00,0x00,0x00,0x00,0x00,0x00,0x00,0x00,0x00,0x00];[0x01,0x05,0x00,0x69,0x00,0x00,0x11,0x00,0x00,0x00,0x00,0x00,0x00,0x00,0x00,0x00,0x00];[0x03,0x03,0x00,0xC8,0x00,0xC8,0x00,0x00,0x8C,0x00,0x00,0x11,0x00,0x87,0x00,0x82,0x0A];[0x01,0x03,0x00,0x64,0x00,0x00,0x11,0x00,0x00,0x00,0x00,0x00,0x00,0x00,0x00,0x00,0x00];[0x03,0x02,0x02,0x7F,0x00,0x00,0x11,0x02,0x76,0x02,0x6D,0x10,0x02,0x6D,0x02,0x6D,0x10];[0x03,0x02,0x02,0x01,0x03,0x2A,0x0E,0x02,0x0A,0x02,0x13,0x0E,0x02,0x13,0x02,0x1C,0x09];[0x03,0x05,0x00,0x64,0x00,0x00,0x11,0x00,0x5F,0x00,0x5A,0x0B,0x00,0x5A,0x00,0x55,0x01];[0x03,0x05,0x00,0x2A,0x00,0x64,0x10,0x00,0x2C,0x00,0x2E,0x0B,0x00,0x2E,0x00,0x30,0x0A];[0x03,0x03,0x00,0x00,0x00,0x05,0x01,0x00,0x0A,0x00,0x0A,0x01,0x00,0x14,0x00,0x14,0x01];[0x03,0x03,0x00,0x00,0x00,0x00,0x00,0x00,0x00,0x00,0x00,0x00,0x00,0x46,0x00,0x65,0x01]]</v>
      </c>
    </row>
    <row r="56" spans="1:51" x14ac:dyDescent="0.25">
      <c r="V56" s="2"/>
      <c r="W56" s="2"/>
      <c r="X56" s="2"/>
      <c r="Y56" s="2"/>
      <c r="Z56" s="2"/>
      <c r="AA56" s="2"/>
      <c r="AB56" s="2"/>
      <c r="AC56" s="2"/>
      <c r="AD56" s="2"/>
      <c r="AE56" s="2"/>
      <c r="AF56" s="2"/>
      <c r="AG56" s="2"/>
      <c r="AH56" s="2"/>
      <c r="AI56" s="2"/>
      <c r="AJ56" s="2"/>
      <c r="AK56" s="2"/>
      <c r="AL56" s="2"/>
      <c r="AN56" s="2"/>
      <c r="AO56" s="2"/>
      <c r="AP56" s="2"/>
      <c r="AQ56" s="2"/>
      <c r="AR56" s="2"/>
      <c r="AS56" s="2"/>
      <c r="AT56" s="2"/>
      <c r="AU56" s="2"/>
      <c r="AV56" s="2"/>
      <c r="AW56" s="2"/>
      <c r="AX56" s="2"/>
      <c r="AY56" s="2"/>
    </row>
    <row r="57" spans="1:51" x14ac:dyDescent="0.25">
      <c r="V57" s="2"/>
      <c r="W57" s="2"/>
      <c r="X57" s="2"/>
      <c r="Y57" s="2"/>
      <c r="Z57" s="2"/>
      <c r="AA57" s="2"/>
      <c r="AB57" s="2"/>
      <c r="AC57" s="2"/>
      <c r="AD57" s="2"/>
      <c r="AE57" s="2"/>
      <c r="AF57" s="2"/>
      <c r="AG57" s="2"/>
      <c r="AH57" s="2"/>
      <c r="AI57" s="2"/>
      <c r="AJ57" s="2"/>
      <c r="AK57" s="2"/>
      <c r="AL57" s="2"/>
      <c r="AN57" s="10"/>
      <c r="AO57" s="2"/>
      <c r="AP57" s="2"/>
      <c r="AQ57" s="2"/>
      <c r="AR57" s="2"/>
      <c r="AS57" s="2"/>
      <c r="AT57" s="2"/>
      <c r="AU57" s="2"/>
      <c r="AV57" s="2"/>
      <c r="AW57" s="2"/>
      <c r="AX57" s="2"/>
      <c r="AY57" s="2"/>
    </row>
  </sheetData>
  <mergeCells count="20">
    <mergeCell ref="I1:I2"/>
    <mergeCell ref="J1:J2"/>
    <mergeCell ref="K1:K2"/>
    <mergeCell ref="L1:L2"/>
    <mergeCell ref="M1:M2"/>
    <mergeCell ref="A1:A2"/>
    <mergeCell ref="B1:B2"/>
    <mergeCell ref="V1:AL1"/>
    <mergeCell ref="O1:O2"/>
    <mergeCell ref="P1:P2"/>
    <mergeCell ref="Q1:Q2"/>
    <mergeCell ref="R1:R2"/>
    <mergeCell ref="S1:S2"/>
    <mergeCell ref="N1:N2"/>
    <mergeCell ref="C1:C2"/>
    <mergeCell ref="D1:D2"/>
    <mergeCell ref="E1:E2"/>
    <mergeCell ref="F1:F2"/>
    <mergeCell ref="G1:G2"/>
    <mergeCell ref="H1:H2"/>
  </mergeCells>
  <phoneticPr fontId="3" type="noConversion"/>
  <conditionalFormatting sqref="H3:H8 K3:K8 N3:N8 N11:N17 K11:K17 H11:H17 H24:H27 K24:K27 N24:N27">
    <cfRule type="cellIs" dxfId="19" priority="18" operator="greaterThan">
      <formula>16</formula>
    </cfRule>
    <cfRule type="cellIs" dxfId="18" priority="19" operator="greaterThan">
      <formula>8</formula>
    </cfRule>
    <cfRule type="cellIs" dxfId="17" priority="20" operator="greaterThan">
      <formula>0</formula>
    </cfRule>
  </conditionalFormatting>
  <conditionalFormatting sqref="D3:E8 H3:H8 K3:K8 N3:N8 N11:N17 K11:K17 H11:H17 D11:E17 D24:E27 H24:H27 K24:K27 N24:N27">
    <cfRule type="cellIs" dxfId="16" priority="17" operator="greaterThan">
      <formula>255</formula>
    </cfRule>
  </conditionalFormatting>
  <conditionalFormatting sqref="F3:G8 I3:J8 L3:M8 L11:M17 I11:J17 F11:G17 F24:G27 I24:J27 L24:M27">
    <cfRule type="cellIs" dxfId="15" priority="16" operator="greaterThan">
      <formula>65535</formula>
    </cfRule>
  </conditionalFormatting>
  <conditionalFormatting sqref="H9:H10 K9:K10 N9:N10">
    <cfRule type="cellIs" dxfId="14" priority="13" operator="greaterThan">
      <formula>16</formula>
    </cfRule>
    <cfRule type="cellIs" dxfId="13" priority="14" operator="greaterThan">
      <formula>8</formula>
    </cfRule>
    <cfRule type="cellIs" dxfId="12" priority="15" operator="greaterThan">
      <formula>0</formula>
    </cfRule>
  </conditionalFormatting>
  <conditionalFormatting sqref="D9:E10 H9:H10 K9:K10 N9:N10">
    <cfRule type="cellIs" dxfId="11" priority="12" operator="greaterThan">
      <formula>255</formula>
    </cfRule>
  </conditionalFormatting>
  <conditionalFormatting sqref="F9:G10 I9:J10 L9:M10">
    <cfRule type="cellIs" dxfId="10" priority="11" operator="greaterThan">
      <formula>65535</formula>
    </cfRule>
  </conditionalFormatting>
  <conditionalFormatting sqref="H22:H23 K22:K23 N22:N23">
    <cfRule type="cellIs" dxfId="9" priority="8" operator="greaterThan">
      <formula>16</formula>
    </cfRule>
    <cfRule type="cellIs" dxfId="8" priority="9" operator="greaterThan">
      <formula>8</formula>
    </cfRule>
    <cfRule type="cellIs" dxfId="7" priority="10" operator="greaterThan">
      <formula>0</formula>
    </cfRule>
  </conditionalFormatting>
  <conditionalFormatting sqref="D22:E23 H22:H23 K22:K23 N22:N23">
    <cfRule type="cellIs" dxfId="6" priority="7" operator="greaterThan">
      <formula>255</formula>
    </cfRule>
  </conditionalFormatting>
  <conditionalFormatting sqref="F22:G23 I22:J23 L22:M23">
    <cfRule type="cellIs" dxfId="5" priority="6" operator="greaterThan">
      <formula>65535</formula>
    </cfRule>
  </conditionalFormatting>
  <conditionalFormatting sqref="H18:H21 K18:K21 N18:N21">
    <cfRule type="cellIs" dxfId="4" priority="3" operator="greaterThan">
      <formula>16</formula>
    </cfRule>
    <cfRule type="cellIs" dxfId="3" priority="4" operator="greaterThan">
      <formula>8</formula>
    </cfRule>
    <cfRule type="cellIs" dxfId="2" priority="5" operator="greaterThan">
      <formula>0</formula>
    </cfRule>
  </conditionalFormatting>
  <conditionalFormatting sqref="D18:E21 H18:H21 K18:K21 N18:N21">
    <cfRule type="cellIs" dxfId="1" priority="2" operator="greaterThan">
      <formula>255</formula>
    </cfRule>
  </conditionalFormatting>
  <conditionalFormatting sqref="F18:G21 I18:J21 L18:M21">
    <cfRule type="cellIs" dxfId="0" priority="1" operator="greaterThan">
      <formula>65535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35C4F-1428-4AAD-952E-A9036262111D}">
  <dimension ref="B1:G20"/>
  <sheetViews>
    <sheetView workbookViewId="0">
      <selection activeCell="D28" sqref="D28"/>
    </sheetView>
  </sheetViews>
  <sheetFormatPr defaultColWidth="9" defaultRowHeight="13.8" x14ac:dyDescent="0.25"/>
  <cols>
    <col min="1" max="1" width="9" style="2"/>
    <col min="2" max="2" width="14.33203125" style="2" customWidth="1"/>
    <col min="3" max="3" width="12.33203125" style="2" customWidth="1"/>
    <col min="4" max="4" width="6.88671875" style="2" customWidth="1"/>
    <col min="5" max="5" width="8.44140625" style="2" customWidth="1"/>
    <col min="6" max="7" width="14.109375" style="2" customWidth="1"/>
    <col min="8" max="16384" width="9" style="2"/>
  </cols>
  <sheetData>
    <row r="1" spans="2:7" x14ac:dyDescent="0.25">
      <c r="E1" s="21" t="s">
        <v>133</v>
      </c>
      <c r="F1" s="21" t="s">
        <v>132</v>
      </c>
      <c r="G1" s="21" t="s">
        <v>131</v>
      </c>
    </row>
    <row r="2" spans="2:7" x14ac:dyDescent="0.25">
      <c r="B2" s="20" t="s">
        <v>130</v>
      </c>
      <c r="C2" s="20" t="s">
        <v>129</v>
      </c>
      <c r="D2" s="20" t="s">
        <v>128</v>
      </c>
      <c r="E2" s="20" t="s">
        <v>127</v>
      </c>
      <c r="F2" s="20" t="s">
        <v>126</v>
      </c>
      <c r="G2" s="20" t="s">
        <v>125</v>
      </c>
    </row>
    <row r="3" spans="2:7" x14ac:dyDescent="0.25">
      <c r="B3" s="78" t="s">
        <v>124</v>
      </c>
      <c r="C3" s="19">
        <v>1</v>
      </c>
      <c r="D3" s="19" t="s">
        <v>123</v>
      </c>
      <c r="E3" s="19">
        <v>0</v>
      </c>
      <c r="F3" s="19">
        <v>100</v>
      </c>
      <c r="G3" s="19">
        <v>100</v>
      </c>
    </row>
    <row r="4" spans="2:7" x14ac:dyDescent="0.25">
      <c r="B4" s="78"/>
      <c r="C4" s="18">
        <v>2</v>
      </c>
      <c r="D4" s="18" t="s">
        <v>122</v>
      </c>
      <c r="E4" s="18">
        <v>0</v>
      </c>
      <c r="F4" s="18">
        <v>100</v>
      </c>
      <c r="G4" s="18">
        <v>100</v>
      </c>
    </row>
    <row r="5" spans="2:7" x14ac:dyDescent="0.25">
      <c r="B5" s="78"/>
      <c r="C5" s="18">
        <v>3</v>
      </c>
      <c r="D5" s="18" t="s">
        <v>121</v>
      </c>
      <c r="E5" s="18">
        <v>0</v>
      </c>
      <c r="F5" s="18">
        <v>100</v>
      </c>
      <c r="G5" s="18">
        <v>100</v>
      </c>
    </row>
    <row r="6" spans="2:7" x14ac:dyDescent="0.25">
      <c r="B6" s="78"/>
      <c r="C6" s="18">
        <v>4</v>
      </c>
      <c r="D6" s="18" t="s">
        <v>120</v>
      </c>
      <c r="E6" s="18">
        <v>0</v>
      </c>
      <c r="F6" s="18">
        <v>100</v>
      </c>
      <c r="G6" s="18">
        <v>100</v>
      </c>
    </row>
    <row r="7" spans="2:7" x14ac:dyDescent="0.25">
      <c r="B7" s="78"/>
      <c r="C7" s="18">
        <v>5</v>
      </c>
      <c r="D7" s="18" t="s">
        <v>119</v>
      </c>
      <c r="E7" s="18">
        <v>0</v>
      </c>
      <c r="F7" s="18">
        <v>100</v>
      </c>
      <c r="G7" s="18">
        <v>100</v>
      </c>
    </row>
    <row r="8" spans="2:7" x14ac:dyDescent="0.25">
      <c r="B8" s="78"/>
      <c r="C8" s="18">
        <v>6</v>
      </c>
      <c r="D8" s="18" t="s">
        <v>118</v>
      </c>
      <c r="E8" s="18">
        <v>0</v>
      </c>
      <c r="F8" s="18">
        <v>80</v>
      </c>
      <c r="G8" s="18">
        <v>100</v>
      </c>
    </row>
    <row r="9" spans="2:7" x14ac:dyDescent="0.25">
      <c r="B9" s="78" t="s">
        <v>117</v>
      </c>
      <c r="C9" s="18">
        <v>7</v>
      </c>
      <c r="D9" s="18" t="s">
        <v>116</v>
      </c>
      <c r="E9" s="18">
        <v>0</v>
      </c>
      <c r="F9" s="18">
        <v>60</v>
      </c>
      <c r="G9" s="18">
        <v>100</v>
      </c>
    </row>
    <row r="10" spans="2:7" x14ac:dyDescent="0.25">
      <c r="B10" s="78"/>
      <c r="C10" s="18">
        <v>8</v>
      </c>
      <c r="D10" s="18" t="s">
        <v>115</v>
      </c>
      <c r="E10" s="18">
        <v>0</v>
      </c>
      <c r="F10" s="18">
        <v>100</v>
      </c>
      <c r="G10" s="18">
        <v>80</v>
      </c>
    </row>
    <row r="11" spans="2:7" x14ac:dyDescent="0.25">
      <c r="B11" s="78"/>
      <c r="C11" s="19">
        <v>9</v>
      </c>
      <c r="D11" s="19" t="s">
        <v>114</v>
      </c>
      <c r="E11" s="19">
        <v>0</v>
      </c>
      <c r="F11" s="19">
        <v>100</v>
      </c>
      <c r="G11" s="19">
        <v>50</v>
      </c>
    </row>
    <row r="12" spans="2:7" x14ac:dyDescent="0.25">
      <c r="B12" s="78"/>
      <c r="C12" s="19">
        <v>10</v>
      </c>
      <c r="D12" s="19" t="s">
        <v>113</v>
      </c>
      <c r="E12" s="19">
        <v>0</v>
      </c>
      <c r="F12" s="19">
        <v>50</v>
      </c>
      <c r="G12" s="19">
        <v>100</v>
      </c>
    </row>
    <row r="13" spans="2:7" x14ac:dyDescent="0.25">
      <c r="B13" s="78"/>
      <c r="C13" s="19">
        <v>11</v>
      </c>
      <c r="D13" s="19" t="s">
        <v>112</v>
      </c>
      <c r="E13" s="19">
        <v>0</v>
      </c>
      <c r="F13" s="19">
        <v>50</v>
      </c>
      <c r="G13" s="19">
        <v>50</v>
      </c>
    </row>
    <row r="14" spans="2:7" x14ac:dyDescent="0.25">
      <c r="B14" s="78"/>
      <c r="C14" s="18">
        <v>12</v>
      </c>
      <c r="D14" s="18" t="s">
        <v>111</v>
      </c>
      <c r="E14" s="18">
        <v>0</v>
      </c>
      <c r="F14" s="18">
        <v>0</v>
      </c>
      <c r="G14" s="18">
        <v>50</v>
      </c>
    </row>
    <row r="15" spans="2:7" x14ac:dyDescent="0.25">
      <c r="B15" s="78" t="s">
        <v>110</v>
      </c>
      <c r="C15" s="18">
        <v>13</v>
      </c>
      <c r="D15" s="18" t="s">
        <v>109</v>
      </c>
      <c r="E15" s="5">
        <v>1</v>
      </c>
      <c r="F15" s="18">
        <v>50</v>
      </c>
      <c r="G15" s="18">
        <v>20</v>
      </c>
    </row>
    <row r="16" spans="2:7" x14ac:dyDescent="0.25">
      <c r="B16" s="78"/>
      <c r="C16" s="18">
        <v>14</v>
      </c>
      <c r="D16" s="18" t="s">
        <v>108</v>
      </c>
      <c r="E16" s="5">
        <v>2</v>
      </c>
      <c r="F16" s="18">
        <v>50</v>
      </c>
      <c r="G16" s="18">
        <v>0</v>
      </c>
    </row>
    <row r="17" spans="2:7" x14ac:dyDescent="0.25">
      <c r="B17" s="78"/>
      <c r="C17" s="18">
        <v>15</v>
      </c>
      <c r="D17" s="18" t="s">
        <v>107</v>
      </c>
      <c r="E17" s="5">
        <v>3</v>
      </c>
      <c r="F17" s="18">
        <v>0</v>
      </c>
      <c r="G17" s="18">
        <v>0</v>
      </c>
    </row>
    <row r="18" spans="2:7" x14ac:dyDescent="0.25">
      <c r="B18" s="78"/>
      <c r="C18" s="18">
        <v>16</v>
      </c>
      <c r="D18" s="18" t="s">
        <v>106</v>
      </c>
      <c r="E18" s="5">
        <v>4</v>
      </c>
      <c r="F18" s="18">
        <v>0</v>
      </c>
      <c r="G18" s="18">
        <v>0</v>
      </c>
    </row>
    <row r="19" spans="2:7" x14ac:dyDescent="0.25">
      <c r="B19" s="78"/>
      <c r="C19" s="19">
        <v>17</v>
      </c>
      <c r="D19" s="19" t="s">
        <v>105</v>
      </c>
      <c r="E19" s="19">
        <v>5</v>
      </c>
      <c r="F19" s="18">
        <v>0</v>
      </c>
      <c r="G19" s="18">
        <v>0</v>
      </c>
    </row>
    <row r="20" spans="2:7" x14ac:dyDescent="0.25">
      <c r="B20" s="78"/>
      <c r="C20" s="18">
        <v>18</v>
      </c>
      <c r="D20" s="18" t="s">
        <v>104</v>
      </c>
      <c r="E20" s="18"/>
      <c r="F20" s="18"/>
      <c r="G20" s="18"/>
    </row>
  </sheetData>
  <mergeCells count="3">
    <mergeCell ref="B3:B8"/>
    <mergeCell ref="B9:B14"/>
    <mergeCell ref="B15:B20"/>
  </mergeCells>
  <phoneticPr fontId="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D8387-FC4B-418A-86DF-A9C146CEE1FF}">
  <dimension ref="A2:A10"/>
  <sheetViews>
    <sheetView workbookViewId="0">
      <selection activeCell="A16" sqref="A16"/>
    </sheetView>
  </sheetViews>
  <sheetFormatPr defaultRowHeight="13.8" x14ac:dyDescent="0.25"/>
  <cols>
    <col min="1" max="1" width="93.21875" customWidth="1"/>
    <col min="2" max="2" width="45.33203125" customWidth="1"/>
  </cols>
  <sheetData>
    <row r="2" spans="1:1" x14ac:dyDescent="0.25">
      <c r="A2" t="s">
        <v>170</v>
      </c>
    </row>
    <row r="3" spans="1:1" x14ac:dyDescent="0.25">
      <c r="A3" t="s">
        <v>85</v>
      </c>
    </row>
    <row r="4" spans="1:1" x14ac:dyDescent="0.25">
      <c r="A4" t="s">
        <v>87</v>
      </c>
    </row>
    <row r="5" spans="1:1" ht="41.4" x14ac:dyDescent="0.25">
      <c r="A5" s="12" t="s">
        <v>86</v>
      </c>
    </row>
    <row r="6" spans="1:1" ht="27.6" x14ac:dyDescent="0.25">
      <c r="A6" s="16" t="s">
        <v>101</v>
      </c>
    </row>
    <row r="7" spans="1:1" x14ac:dyDescent="0.25">
      <c r="A7" s="12" t="s">
        <v>89</v>
      </c>
    </row>
    <row r="8" spans="1:1" x14ac:dyDescent="0.25">
      <c r="A8" t="s">
        <v>100</v>
      </c>
    </row>
    <row r="9" spans="1:1" x14ac:dyDescent="0.25">
      <c r="A9" t="s">
        <v>88</v>
      </c>
    </row>
    <row r="10" spans="1:1" x14ac:dyDescent="0.25">
      <c r="A10" t="s">
        <v>169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3.BICU-NVMC</vt:lpstr>
      <vt:lpstr>2.BCMU-NVMC</vt:lpstr>
      <vt:lpstr>2.按PID大小排序</vt:lpstr>
      <vt:lpstr>2.BCMU告警等级</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PeakCloud</cp:lastModifiedBy>
  <dcterms:created xsi:type="dcterms:W3CDTF">2015-06-05T18:19:34Z</dcterms:created>
  <dcterms:modified xsi:type="dcterms:W3CDTF">2026-05-22T07:55:54Z</dcterms:modified>
</cp:coreProperties>
</file>